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nisdl\Documents\Faculdade\TCC\benchmark\results\"/>
    </mc:Choice>
  </mc:AlternateContent>
  <xr:revisionPtr revIDLastSave="0" documentId="13_ncr:1_{FDB8BB5D-647F-4A4E-869A-C5D27FCFEB5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Resumo" sheetId="1" r:id="rId1"/>
    <sheet name="claude_code" sheetId="2" r:id="rId2"/>
    <sheet name="opencode" sheetId="3" r:id="rId3"/>
    <sheet name="codex_cl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C12" i="1"/>
  <c r="C11" i="1"/>
  <c r="C10" i="1"/>
  <c r="C9" i="1"/>
  <c r="C8" i="1"/>
  <c r="C7" i="1"/>
  <c r="C5" i="1"/>
  <c r="C6" i="1"/>
  <c r="B6" i="1"/>
  <c r="B7" i="1"/>
  <c r="B8" i="1"/>
  <c r="B9" i="1"/>
  <c r="B10" i="1"/>
  <c r="B11" i="1"/>
  <c r="B12" i="1"/>
  <c r="B5" i="1"/>
  <c r="D119" i="4"/>
  <c r="D119" i="3"/>
  <c r="D119" i="2"/>
  <c r="D13" i="1" l="1"/>
  <c r="C13" i="1"/>
  <c r="B13" i="1"/>
</calcChain>
</file>

<file path=xl/sharedStrings.xml><?xml version="1.0" encoding="utf-8"?>
<sst xmlns="http://schemas.openxmlformats.org/spreadsheetml/2006/main" count="675" uniqueCount="129">
  <si>
    <t>RESUMO — BENCHMARK AI ASSISTANTS</t>
  </si>
  <si>
    <t>TCC UNISINOS — Marco Dall'Alba — Pontuações por dimensão (0–100 total)</t>
  </si>
  <si>
    <t>Dimensão</t>
  </si>
  <si>
    <t>claude_code</t>
  </si>
  <si>
    <t>opencode</t>
  </si>
  <si>
    <t>codex_cli</t>
  </si>
  <si>
    <t>Máx</t>
  </si>
  <si>
    <t>D1 — Entregáveis &amp; Boot</t>
  </si>
  <si>
    <t>D2 — Integração LLM &amp; Streaming</t>
  </si>
  <si>
    <t>D3 — Multi-turn &amp; Persistência</t>
  </si>
  <si>
    <t>D4 — Funcionalidades</t>
  </si>
  <si>
    <t>D5 — Robustez</t>
  </si>
  <si>
    <t>D6 — Testes</t>
  </si>
  <si>
    <t>D7 — Qualidade de Código</t>
  </si>
  <si>
    <t>D8 — Documentação &amp; Segurança</t>
  </si>
  <si>
    <t>TOTAL</t>
  </si>
  <si>
    <t>Notas gerais / comportamentos inesperados</t>
  </si>
  <si>
    <t>SCORESHEET — CLAUDE CODE</t>
  </si>
  <si>
    <t>Benchmark: Avaliação Empírica de Assistentes de IA — TCC UNISINOS — Marco Dall'Alba</t>
  </si>
  <si>
    <t>Run:</t>
  </si>
  <si>
    <t>#</t>
  </si>
  <si>
    <t>Critério / Verificação</t>
  </si>
  <si>
    <t>Pts máx</t>
  </si>
  <si>
    <t>Pontuação</t>
  </si>
  <si>
    <t>Notas / Observações</t>
  </si>
  <si>
    <t xml:space="preserve">  D1 — Entregáveis &amp; Boot  (G1, G2, G13)</t>
  </si>
  <si>
    <t>Máx 15</t>
  </si>
  <si>
    <t xml:space="preserve">  Critérios de pontuação</t>
  </si>
  <si>
    <t>App boota, UI carrega, componentes React presentes, docker compose up funciona</t>
  </si>
  <si>
    <t>App boota e UI carrega, mas Docker falha ou componentes são arquivo único</t>
  </si>
  <si>
    <t>App boota mas UI tem erros visíveis; ou apenas Docker funciona</t>
  </si>
  <si>
    <t>App não boota (npm install falha, syntax error, porta não responde)</t>
  </si>
  <si>
    <t>→</t>
  </si>
  <si>
    <t>PONTUAÇÃO ATRIBUÍDA (escolha um valor dos critérios acima)</t>
  </si>
  <si>
    <t>(0–15)</t>
  </si>
  <si>
    <t xml:space="preserve">  Checklist de verificação</t>
  </si>
  <si>
    <t>☐</t>
  </si>
  <si>
    <t>App boota (npm run dev / npm start)</t>
  </si>
  <si>
    <t>UI carrega em http://localhost:3000 sem erros de console</t>
  </si>
  <si>
    <t>Componentes React separados (não arquivo único)</t>
  </si>
  <si>
    <t>Tailwind CSS aplicado</t>
  </si>
  <si>
    <t>Dockerfile presente</t>
  </si>
  <si>
    <t>docker compose up --build funciona</t>
  </si>
  <si>
    <t xml:space="preserve">  D2 — Integração LLM &amp; Streaming  (G3, G4)</t>
  </si>
  <si>
    <t>Máx 20</t>
  </si>
  <si>
    <t>SDK configurado 100% via env, streaming incremental confirmado visualmente, modelo configurável via OPENAI_MODEL</t>
  </si>
  <si>
    <t>Streaming funciona mas modelo ou URL parcialmente hardcoded</t>
  </si>
  <si>
    <t>SDK presente e configurado via env, mas streaming não é incremental (resposta completa aparece de uma vez)</t>
  </si>
  <si>
    <t>Código de integração presente e correto sintaticamente mas nunca produz streaming real</t>
  </si>
  <si>
    <t>Sem integração LLM; resposta estática ou endpoint inexistente</t>
  </si>
  <si>
    <t>(0–20)</t>
  </si>
  <si>
    <t>SDK Vercel AI (@ai-sdk/openai) presente</t>
  </si>
  <si>
    <t>OPENAI_BASE_URL lido de env (não hardcoded)</t>
  </si>
  <si>
    <t>OPENAI_MODEL lido de env (não hardcoded)</t>
  </si>
  <si>
    <t>Tokens aparecem incrementalmente na UI (streaming real)</t>
  </si>
  <si>
    <t>streamText + useChat utilizados</t>
  </si>
  <si>
    <t xml:space="preserve">  D3 — Multi-turn &amp; Persistência  (G5, G6)</t>
  </si>
  <si>
    <t>Histórico correto (G5 + unit test), sobrevive restart, bounded com TTL, SQLite ou Redis (não array em memória)</t>
  </si>
  <si>
    <t>Persiste corretamente mas sem TTL ou sem caps; ou unit test de multi-turn payload ausente</t>
  </si>
  <si>
    <t>Persiste mas apenas em memória (não sobrevive restart)</t>
  </si>
  <si>
    <t>Sem persistência; cada mensagem é processada sem contexto</t>
  </si>
  <si>
    <t>Histórico enviado ao provider exclui a mensagem atual (sem duplicata)</t>
  </si>
  <si>
    <t>Unit test verifica array exato de mensagens multi-turn</t>
  </si>
  <si>
    <t>Conversa sobrevive restart do servidor</t>
  </si>
  <si>
    <t>Storage usa SQLite ou Redis (não array em memória)</t>
  </si>
  <si>
    <t>Cap de mensagens e bytes implementado</t>
  </si>
  <si>
    <t>TTL de conversa implementado</t>
  </si>
  <si>
    <t xml:space="preserve">  D4 — Funcionalidades  (G7, G8, G9)</t>
  </si>
  <si>
    <t>Ambas as tools funcionam, título gerado via generateObject aparece na UI, budget recusa turnos com mensagem amigável</t>
  </si>
  <si>
    <t>Tools funcionam mas título ou budget ausente</t>
  </si>
  <si>
    <t>Uma tool funciona; ou título/budget implementados mas com comportamento incorreto</t>
  </si>
  <si>
    <t>Código de tools/título/budget presente mas nunca acionado corretamente</t>
  </si>
  <si>
    <t>Nenhuma das três funcionalidades implementada</t>
  </si>
  <si>
    <t>Tool server_time retorna horário UTC via AI SDK tool API</t>
  </si>
  <si>
    <t>Tool calculator avalia expressão aritmética sem eval/Function</t>
  </si>
  <si>
    <t>Título gerado via generateObject após primeira troca</t>
  </si>
  <si>
    <t>Título exibido na UI</t>
  </si>
  <si>
    <t>Token budgeting implementado (env var configurável)</t>
  </si>
  <si>
    <t>Budget excedido: recusa novos turnos sem chamar o provider</t>
  </si>
  <si>
    <t xml:space="preserve">  D5 — Robustez  (G10)</t>
  </si>
  <si>
    <t>Máx 10</t>
  </si>
  <si>
    <t>System prompt presente, preflight de key implementado, falha do provider não causa crash, turnos falhos descartados</t>
  </si>
  <si>
    <t>Dois ou três dos quatro critérios atendidos</t>
  </si>
  <si>
    <t>Apenas um critério atendido</t>
  </si>
  <si>
    <t>Sem tratamento de erros; qualquer falha causa crash ou estado silencioso</t>
  </si>
  <si>
    <t>(0–10)</t>
  </si>
  <si>
    <t>System prompt configurado via AI SDK</t>
  </si>
  <si>
    <t>Preflight: API key ausente → erro amigável na UI (não crash)</t>
  </si>
  <si>
    <t>Falha do provider → estado degradado visível (não crash)</t>
  </si>
  <si>
    <t>Turnos falhos nunca entram no histórico replayável</t>
  </si>
  <si>
    <t xml:space="preserve">  D6 — Testes  (G11)</t>
  </si>
  <si>
    <t>Testes cobrem componentes e lógica; mock correto do SDK; teste de multi-turn payload; npm test passa; cobertura reportada</t>
  </si>
  <si>
    <t>Testes presentes e passam; mock correto mas teste de multi-turn payload ausente</t>
  </si>
  <si>
    <t>Testes existem mas mockam API inexistente do SDK ou npm test falha</t>
  </si>
  <si>
    <t>Sem testes</t>
  </si>
  <si>
    <t>Vitest configurado</t>
  </si>
  <si>
    <t>Testes para componentes React</t>
  </si>
  <si>
    <t>Testes para lógica core (persistência, history, tools)</t>
  </si>
  <si>
    <t>Mocks espelham API real do Vercel AI SDK</t>
  </si>
  <si>
    <t>npm test passa (100% green)</t>
  </si>
  <si>
    <t>Cobertura configurada e reportada (@vitest/coverage-v8)</t>
  </si>
  <si>
    <t xml:space="preserve">  D7 — Qualidade de Código  (G12)</t>
  </si>
  <si>
    <t>Máx 5</t>
  </si>
  <si>
    <t>Lint, format e audit passam com 0 erros/warnings</t>
  </si>
  <si>
    <t>Um dos três falha com poucos problemas</t>
  </si>
  <si>
    <t>Dois ou três falham</t>
  </si>
  <si>
    <t>Nenhum configurado</t>
  </si>
  <si>
    <t>(0–5)</t>
  </si>
  <si>
    <t>npm run lint — 0 erros ESLint (regras TypeScript ativas)</t>
  </si>
  <si>
    <t>npm run format:check — 0 erros Prettier</t>
  </si>
  <si>
    <t>npm audit --audit-level=low — sem findings</t>
  </si>
  <si>
    <t>npm run build — compila sem erros</t>
  </si>
  <si>
    <t>npm run typecheck — sem erros TypeScript</t>
  </si>
  <si>
    <t xml:space="preserve">  D8 — Documentação &amp; Segurança  (G13, G14)</t>
  </si>
  <si>
    <t>README completo, sem secrets em código, .env ignorado pelo git</t>
  </si>
  <si>
    <t>README presente mas incompleto; ou .env não ignorado</t>
  </si>
  <si>
    <t>Sem README ou credenciais hardcoded</t>
  </si>
  <si>
    <t>README.md presente com setup, env vars, como rodar e testar</t>
  </si>
  <si>
    <t>Sem credenciais hardcoded em nenhum arquivo</t>
  </si>
  <si>
    <t>.env no .gitignore</t>
  </si>
  <si>
    <t>← Verificar: deve somar 100</t>
  </si>
  <si>
    <t>SCORESHEET — OPENCODE</t>
  </si>
  <si>
    <t>SCORESHEET — CODEX CLI</t>
  </si>
  <si>
    <t>OK</t>
  </si>
  <si>
    <t>Criou uma logica invalida para buscar a ENV OPENAI_BASE_URL priorizando um valor harded code.</t>
  </si>
  <si>
    <t>NOK</t>
  </si>
  <si>
    <t>Falha ao executar com docker compose up</t>
  </si>
  <si>
    <t>1 teste falha</t>
  </si>
  <si>
    <t>Url Harded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</si>
</sst>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CCCCCC"/>
      <name val="Calibri"/>
    </font>
    <font>
      <b/>
      <sz val="12"/>
      <color rgb="FFFFFFFF"/>
      <name val="Calibri"/>
    </font>
    <font>
      <sz val="9"/>
      <color rgb="FF000000"/>
      <name val="Calibri"/>
    </font>
    <font>
      <b/>
      <sz val="11"/>
      <color rgb="FF8B0000"/>
      <name val="Calibri"/>
    </font>
    <font>
      <b/>
      <sz val="9"/>
      <color rgb="FF000000"/>
      <name val="Calibri"/>
    </font>
    <font>
      <b/>
      <sz val="12"/>
      <color rgb="FF000000"/>
      <name val="Calibri"/>
    </font>
    <font>
      <b/>
      <sz val="13"/>
      <color rgb="FF8B0000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9"/>
      <color rgb="FFFFFFFF"/>
      <name val="Calibri"/>
    </font>
    <font>
      <b/>
      <sz val="10"/>
      <color rgb="FFB8860B"/>
      <name val="Calibri"/>
    </font>
    <font>
      <b/>
      <sz val="9"/>
      <color rgb="FF404040"/>
      <name val="Calibri"/>
    </font>
    <font>
      <sz val="9"/>
      <color rgb="FF777777"/>
      <name val="Calibri"/>
    </font>
    <font>
      <b/>
      <sz val="12"/>
      <color rgb="FF8B0000"/>
      <name val="Calibri"/>
    </font>
    <font>
      <sz val="10"/>
      <color rgb="FF2E7D32"/>
      <name val="Calibri"/>
    </font>
    <font>
      <b/>
      <sz val="13"/>
      <color rgb="FF404040"/>
      <name val="Calibri"/>
    </font>
    <font>
      <b/>
      <sz val="14"/>
      <color rgb="FF8B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C3E5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D700"/>
      </patternFill>
    </fill>
    <fill>
      <patternFill patternType="solid">
        <fgColor rgb="FF2E75B6"/>
      </patternFill>
    </fill>
    <fill>
      <patternFill patternType="solid">
        <fgColor rgb="FF5B9BD5"/>
      </patternFill>
    </fill>
    <fill>
      <patternFill patternType="solid">
        <fgColor rgb="FFD6E4F7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0" fillId="5" borderId="1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0" fillId="12" borderId="0" xfId="0" applyFill="1"/>
    <xf numFmtId="0" fontId="19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9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H15" sqref="H15"/>
    </sheetView>
  </sheetViews>
  <sheetFormatPr defaultRowHeight="15" x14ac:dyDescent="0.25"/>
  <cols>
    <col min="1" max="1" width="28" customWidth="1"/>
    <col min="2" max="5" width="20" customWidth="1"/>
  </cols>
  <sheetData>
    <row r="1" spans="1:5" ht="27.95" customHeight="1" x14ac:dyDescent="0.25">
      <c r="A1" s="28" t="s">
        <v>0</v>
      </c>
      <c r="B1" s="26"/>
      <c r="C1" s="26"/>
      <c r="D1" s="26"/>
      <c r="E1" s="26"/>
    </row>
    <row r="2" spans="1:5" ht="15.95" customHeight="1" x14ac:dyDescent="0.25">
      <c r="A2" s="25" t="s">
        <v>1</v>
      </c>
      <c r="B2" s="26"/>
      <c r="C2" s="26"/>
      <c r="D2" s="26"/>
      <c r="E2" s="26"/>
    </row>
    <row r="4" spans="1: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0.100000000000001" customHeight="1" x14ac:dyDescent="0.25">
      <c r="A5" s="2" t="s">
        <v>7</v>
      </c>
      <c r="B5" s="3">
        <f>claude_code!D11</f>
        <v>15</v>
      </c>
      <c r="C5" s="3">
        <f>opencode!D11</f>
        <v>10</v>
      </c>
      <c r="D5" s="3">
        <f>codex_cli!D11</f>
        <v>10</v>
      </c>
      <c r="E5" s="4">
        <v>15</v>
      </c>
    </row>
    <row r="6" spans="1:5" ht="20.100000000000001" customHeight="1" x14ac:dyDescent="0.25">
      <c r="A6" s="2" t="s">
        <v>8</v>
      </c>
      <c r="B6" s="3">
        <f>claude_code!D27</f>
        <v>20</v>
      </c>
      <c r="C6" s="3">
        <f>opencode!D27</f>
        <v>15</v>
      </c>
      <c r="D6" s="3">
        <f>codex_cli!D27</f>
        <v>15</v>
      </c>
      <c r="E6" s="4">
        <v>20</v>
      </c>
    </row>
    <row r="7" spans="1:5" ht="20.100000000000001" customHeight="1" x14ac:dyDescent="0.25">
      <c r="A7" s="2" t="s">
        <v>9</v>
      </c>
      <c r="B7" s="3">
        <f>claude_code!D41</f>
        <v>15</v>
      </c>
      <c r="C7" s="3">
        <f>opencode!D41</f>
        <v>15</v>
      </c>
      <c r="D7" s="3">
        <f>codex_cli!D41</f>
        <v>15</v>
      </c>
      <c r="E7" s="4">
        <v>15</v>
      </c>
    </row>
    <row r="8" spans="1:5" ht="20.100000000000001" customHeight="1" x14ac:dyDescent="0.25">
      <c r="A8" s="2" t="s">
        <v>10</v>
      </c>
      <c r="B8" s="3">
        <f>claude_code!D57</f>
        <v>20</v>
      </c>
      <c r="C8" s="3">
        <f>opencode!D57</f>
        <v>20</v>
      </c>
      <c r="D8" s="3">
        <f>codex_cli!D57</f>
        <v>20</v>
      </c>
      <c r="E8" s="4">
        <v>20</v>
      </c>
    </row>
    <row r="9" spans="1:5" ht="20.100000000000001" customHeight="1" x14ac:dyDescent="0.25">
      <c r="A9" s="2" t="s">
        <v>11</v>
      </c>
      <c r="B9" s="3">
        <f>claude_code!D72</f>
        <v>10</v>
      </c>
      <c r="C9" s="3">
        <f>opencode!D72</f>
        <v>10</v>
      </c>
      <c r="D9" s="3">
        <f>codex_cli!D72</f>
        <v>10</v>
      </c>
      <c r="E9" s="4">
        <v>10</v>
      </c>
    </row>
    <row r="10" spans="1:5" ht="20.100000000000001" customHeight="1" x14ac:dyDescent="0.25">
      <c r="A10" s="2" t="s">
        <v>12</v>
      </c>
      <c r="B10" s="3">
        <f>claude_code!D85</f>
        <v>10</v>
      </c>
      <c r="C10" s="3">
        <f>opencode!D85</f>
        <v>7</v>
      </c>
      <c r="D10" s="3">
        <f>codex_cli!D85</f>
        <v>10</v>
      </c>
      <c r="E10" s="4">
        <v>10</v>
      </c>
    </row>
    <row r="11" spans="1:5" ht="20.100000000000001" customHeight="1" x14ac:dyDescent="0.25">
      <c r="A11" s="2" t="s">
        <v>13</v>
      </c>
      <c r="B11" s="3">
        <f>claude_code!D100</f>
        <v>5</v>
      </c>
      <c r="C11" s="3">
        <f>opencode!D100</f>
        <v>5</v>
      </c>
      <c r="D11" s="3">
        <f>codex_cli!D100</f>
        <v>5</v>
      </c>
      <c r="E11" s="4">
        <v>5</v>
      </c>
    </row>
    <row r="12" spans="1:5" ht="20.100000000000001" customHeight="1" x14ac:dyDescent="0.25">
      <c r="A12" s="2" t="s">
        <v>14</v>
      </c>
      <c r="B12" s="3">
        <f>claude_code!D113</f>
        <v>5</v>
      </c>
      <c r="C12" s="3">
        <f>opencode!D113</f>
        <v>5</v>
      </c>
      <c r="D12" s="3">
        <f>codex_cli!D113</f>
        <v>5</v>
      </c>
      <c r="E12" s="4">
        <v>5</v>
      </c>
    </row>
    <row r="13" spans="1:5" ht="26.1" customHeight="1" x14ac:dyDescent="0.25">
      <c r="A13" s="5" t="s">
        <v>15</v>
      </c>
      <c r="B13" s="6">
        <f>IFERROR(SUM(B5:B12),"")</f>
        <v>100</v>
      </c>
      <c r="C13" s="6">
        <f>IFERROR(SUM(C5:C12),"")</f>
        <v>87</v>
      </c>
      <c r="D13" s="6">
        <f>IFERROR(SUM(D5:D12),"")</f>
        <v>90</v>
      </c>
      <c r="E13" s="7">
        <v>100</v>
      </c>
    </row>
    <row r="15" spans="1:5" x14ac:dyDescent="0.25">
      <c r="A15" s="27" t="s">
        <v>16</v>
      </c>
      <c r="B15" s="26"/>
      <c r="C15" s="26"/>
      <c r="D15" s="26"/>
      <c r="E15" s="26"/>
    </row>
    <row r="16" spans="1:5" ht="80.099999999999994" customHeight="1" x14ac:dyDescent="0.25">
      <c r="A16" s="29"/>
      <c r="B16" s="26"/>
      <c r="C16" s="26"/>
      <c r="D16" s="26"/>
      <c r="E16" s="26"/>
    </row>
    <row r="17" spans="1:5" x14ac:dyDescent="0.25">
      <c r="A17" s="26"/>
      <c r="B17" s="26"/>
      <c r="C17" s="26"/>
      <c r="D17" s="26"/>
      <c r="E17" s="26"/>
    </row>
    <row r="18" spans="1:5" x14ac:dyDescent="0.25">
      <c r="A18" s="26"/>
      <c r="B18" s="26"/>
      <c r="C18" s="26"/>
      <c r="D18" s="26"/>
      <c r="E18" s="26"/>
    </row>
    <row r="19" spans="1:5" x14ac:dyDescent="0.25">
      <c r="A19" s="26"/>
      <c r="B19" s="26"/>
      <c r="C19" s="26"/>
      <c r="D19" s="26"/>
      <c r="E19" s="26"/>
    </row>
    <row r="20" spans="1:5" x14ac:dyDescent="0.25">
      <c r="A20" s="26"/>
      <c r="B20" s="26"/>
      <c r="C20" s="26"/>
      <c r="D20" s="26"/>
      <c r="E20" s="26"/>
    </row>
  </sheetData>
  <mergeCells count="4">
    <mergeCell ref="A2:E2"/>
    <mergeCell ref="A15:E15"/>
    <mergeCell ref="A1:E1"/>
    <mergeCell ref="A16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9"/>
  <sheetViews>
    <sheetView workbookViewId="0">
      <pane ySplit="4" topLeftCell="A22" activePane="bottomLeft" state="frozen"/>
      <selection pane="bottomLeft" activeCell="D27" sqref="D27"/>
    </sheetView>
  </sheetViews>
  <sheetFormatPr defaultRowHeight="15" x14ac:dyDescent="0.25"/>
  <cols>
    <col min="1" max="1" width="4" customWidth="1"/>
    <col min="2" max="2" width="48" customWidth="1"/>
    <col min="3" max="3" width="12" customWidth="1"/>
    <col min="4" max="4" width="14" customWidth="1"/>
    <col min="5" max="5" width="48" customWidth="1"/>
  </cols>
  <sheetData>
    <row r="1" spans="1:5" ht="27.95" customHeight="1" x14ac:dyDescent="0.25">
      <c r="A1" s="28" t="s">
        <v>17</v>
      </c>
      <c r="B1" s="26"/>
      <c r="C1" s="26"/>
      <c r="D1" s="26"/>
      <c r="E1" s="26"/>
    </row>
    <row r="2" spans="1:5" ht="15.95" customHeight="1" x14ac:dyDescent="0.25">
      <c r="A2" s="25" t="s">
        <v>18</v>
      </c>
      <c r="B2" s="26"/>
      <c r="C2" s="26"/>
      <c r="D2" s="26"/>
      <c r="E2" s="26"/>
    </row>
    <row r="3" spans="1:5" x14ac:dyDescent="0.25">
      <c r="D3" s="8" t="s">
        <v>19</v>
      </c>
      <c r="E3" s="9"/>
    </row>
    <row r="4" spans="1:5" ht="21.95" customHeight="1" x14ac:dyDescent="0.25">
      <c r="A4" s="10" t="s">
        <v>20</v>
      </c>
      <c r="B4" s="10" t="s">
        <v>21</v>
      </c>
      <c r="C4" s="10" t="s">
        <v>22</v>
      </c>
      <c r="D4" s="10" t="s">
        <v>23</v>
      </c>
      <c r="E4" s="10" t="s">
        <v>24</v>
      </c>
    </row>
    <row r="5" spans="1:5" ht="20.100000000000001" customHeight="1" x14ac:dyDescent="0.25">
      <c r="A5" s="34" t="s">
        <v>25</v>
      </c>
      <c r="B5" s="26"/>
      <c r="C5" s="26"/>
      <c r="D5" s="11" t="s">
        <v>26</v>
      </c>
      <c r="E5" s="12"/>
    </row>
    <row r="6" spans="1:5" ht="14.1" customHeight="1" x14ac:dyDescent="0.25">
      <c r="A6" s="32" t="s">
        <v>27</v>
      </c>
      <c r="B6" s="26"/>
      <c r="C6" s="26"/>
      <c r="D6" s="26"/>
      <c r="E6" s="26"/>
    </row>
    <row r="7" spans="1:5" ht="30" customHeight="1" x14ac:dyDescent="0.25">
      <c r="A7" s="13">
        <v>15</v>
      </c>
      <c r="B7" s="31" t="s">
        <v>28</v>
      </c>
      <c r="C7" s="26"/>
      <c r="D7" s="14"/>
      <c r="E7" s="14"/>
    </row>
    <row r="8" spans="1:5" ht="30" customHeight="1" x14ac:dyDescent="0.25">
      <c r="A8" s="13">
        <v>10</v>
      </c>
      <c r="B8" s="31" t="s">
        <v>29</v>
      </c>
      <c r="C8" s="26"/>
      <c r="D8" s="14"/>
      <c r="E8" s="14"/>
    </row>
    <row r="9" spans="1:5" ht="30" customHeight="1" x14ac:dyDescent="0.25">
      <c r="A9" s="13">
        <v>5</v>
      </c>
      <c r="B9" s="31" t="s">
        <v>30</v>
      </c>
      <c r="C9" s="26"/>
      <c r="D9" s="14"/>
      <c r="E9" s="14"/>
    </row>
    <row r="10" spans="1:5" ht="30" customHeight="1" x14ac:dyDescent="0.25">
      <c r="A10" s="13">
        <v>0</v>
      </c>
      <c r="B10" s="31" t="s">
        <v>31</v>
      </c>
      <c r="C10" s="26"/>
      <c r="D10" s="14"/>
      <c r="E10" s="14"/>
    </row>
    <row r="11" spans="1:5" ht="21.95" customHeight="1" x14ac:dyDescent="0.25">
      <c r="A11" s="15" t="s">
        <v>32</v>
      </c>
      <c r="B11" s="16" t="s">
        <v>33</v>
      </c>
      <c r="C11" s="17" t="s">
        <v>34</v>
      </c>
      <c r="D11" s="18">
        <v>15</v>
      </c>
      <c r="E11" s="19"/>
    </row>
    <row r="12" spans="1:5" ht="14.1" customHeight="1" x14ac:dyDescent="0.25">
      <c r="A12" s="35" t="s">
        <v>35</v>
      </c>
      <c r="B12" s="26"/>
      <c r="C12" s="26"/>
      <c r="D12" s="26"/>
      <c r="E12" s="26"/>
    </row>
    <row r="13" spans="1:5" ht="18" customHeight="1" x14ac:dyDescent="0.25">
      <c r="A13" s="20" t="s">
        <v>36</v>
      </c>
      <c r="B13" s="30" t="s">
        <v>37</v>
      </c>
      <c r="C13" s="26"/>
      <c r="D13" s="36" t="s">
        <v>123</v>
      </c>
      <c r="E13" s="21"/>
    </row>
    <row r="14" spans="1:5" ht="18" customHeight="1" x14ac:dyDescent="0.25">
      <c r="A14" s="20" t="s">
        <v>36</v>
      </c>
      <c r="B14" s="30" t="s">
        <v>38</v>
      </c>
      <c r="C14" s="26"/>
      <c r="D14" s="36" t="s">
        <v>123</v>
      </c>
      <c r="E14" s="21"/>
    </row>
    <row r="15" spans="1:5" ht="18" customHeight="1" x14ac:dyDescent="0.25">
      <c r="A15" s="20" t="s">
        <v>36</v>
      </c>
      <c r="B15" s="30" t="s">
        <v>39</v>
      </c>
      <c r="C15" s="26"/>
      <c r="D15" s="36" t="s">
        <v>123</v>
      </c>
      <c r="E15" s="21"/>
    </row>
    <row r="16" spans="1:5" ht="18" customHeight="1" x14ac:dyDescent="0.25">
      <c r="A16" s="20" t="s">
        <v>36</v>
      </c>
      <c r="B16" s="30" t="s">
        <v>40</v>
      </c>
      <c r="C16" s="26"/>
      <c r="D16" s="36" t="s">
        <v>123</v>
      </c>
      <c r="E16" s="21"/>
    </row>
    <row r="17" spans="1:5" ht="18" customHeight="1" x14ac:dyDescent="0.25">
      <c r="A17" s="20" t="s">
        <v>36</v>
      </c>
      <c r="B17" s="30" t="s">
        <v>41</v>
      </c>
      <c r="C17" s="26"/>
      <c r="D17" s="36" t="s">
        <v>123</v>
      </c>
      <c r="E17" s="21"/>
    </row>
    <row r="18" spans="1:5" ht="18" customHeight="1" x14ac:dyDescent="0.25">
      <c r="A18" s="20" t="s">
        <v>36</v>
      </c>
      <c r="B18" s="30" t="s">
        <v>42</v>
      </c>
      <c r="C18" s="26"/>
      <c r="D18" s="36" t="s">
        <v>123</v>
      </c>
      <c r="E18" s="21"/>
    </row>
    <row r="19" spans="1:5" ht="6" customHeight="1" x14ac:dyDescent="0.25">
      <c r="A19" s="22"/>
      <c r="B19" s="22"/>
      <c r="C19" s="22"/>
      <c r="D19" s="22"/>
      <c r="E19" s="22"/>
    </row>
    <row r="20" spans="1:5" ht="20.100000000000001" customHeight="1" x14ac:dyDescent="0.25">
      <c r="A20" s="34" t="s">
        <v>43</v>
      </c>
      <c r="B20" s="26"/>
      <c r="C20" s="26"/>
      <c r="D20" s="11" t="s">
        <v>44</v>
      </c>
      <c r="E20" s="12"/>
    </row>
    <row r="21" spans="1:5" ht="14.1" customHeight="1" x14ac:dyDescent="0.25">
      <c r="A21" s="32" t="s">
        <v>27</v>
      </c>
      <c r="B21" s="26"/>
      <c r="C21" s="26"/>
      <c r="D21" s="26"/>
      <c r="E21" s="26"/>
    </row>
    <row r="22" spans="1:5" ht="30" customHeight="1" x14ac:dyDescent="0.25">
      <c r="A22" s="13">
        <v>20</v>
      </c>
      <c r="B22" s="31" t="s">
        <v>45</v>
      </c>
      <c r="C22" s="26"/>
      <c r="D22" s="14"/>
      <c r="E22" s="14"/>
    </row>
    <row r="23" spans="1:5" ht="30" customHeight="1" x14ac:dyDescent="0.25">
      <c r="A23" s="13">
        <v>15</v>
      </c>
      <c r="B23" s="31" t="s">
        <v>46</v>
      </c>
      <c r="C23" s="26"/>
      <c r="D23" s="14"/>
      <c r="E23" s="14"/>
    </row>
    <row r="24" spans="1:5" ht="30" customHeight="1" x14ac:dyDescent="0.25">
      <c r="A24" s="13">
        <v>10</v>
      </c>
      <c r="B24" s="31" t="s">
        <v>47</v>
      </c>
      <c r="C24" s="26"/>
      <c r="D24" s="14"/>
      <c r="E24" s="14"/>
    </row>
    <row r="25" spans="1:5" ht="30" customHeight="1" x14ac:dyDescent="0.25">
      <c r="A25" s="13">
        <v>5</v>
      </c>
      <c r="B25" s="31" t="s">
        <v>48</v>
      </c>
      <c r="C25" s="26"/>
      <c r="D25" s="14"/>
      <c r="E25" s="14"/>
    </row>
    <row r="26" spans="1:5" ht="30" customHeight="1" x14ac:dyDescent="0.25">
      <c r="A26" s="13">
        <v>0</v>
      </c>
      <c r="B26" s="31" t="s">
        <v>49</v>
      </c>
      <c r="C26" s="26"/>
      <c r="D26" s="14"/>
      <c r="E26" s="14"/>
    </row>
    <row r="27" spans="1:5" ht="21.95" customHeight="1" x14ac:dyDescent="0.25">
      <c r="A27" s="15" t="s">
        <v>32</v>
      </c>
      <c r="B27" s="16" t="s">
        <v>33</v>
      </c>
      <c r="C27" s="17" t="s">
        <v>50</v>
      </c>
      <c r="D27" s="18">
        <v>20</v>
      </c>
      <c r="E27" s="19"/>
    </row>
    <row r="28" spans="1:5" ht="14.1" customHeight="1" x14ac:dyDescent="0.25">
      <c r="A28" s="35" t="s">
        <v>35</v>
      </c>
      <c r="B28" s="26"/>
      <c r="C28" s="26"/>
      <c r="D28" s="26"/>
      <c r="E28" s="26"/>
    </row>
    <row r="29" spans="1:5" ht="18" customHeight="1" x14ac:dyDescent="0.25">
      <c r="A29" s="20" t="s">
        <v>36</v>
      </c>
      <c r="B29" s="30" t="s">
        <v>51</v>
      </c>
      <c r="C29" s="26"/>
      <c r="D29" s="36" t="s">
        <v>123</v>
      </c>
      <c r="E29" s="21"/>
    </row>
    <row r="30" spans="1:5" ht="18" customHeight="1" x14ac:dyDescent="0.25">
      <c r="A30" s="20" t="s">
        <v>36</v>
      </c>
      <c r="B30" s="30" t="s">
        <v>52</v>
      </c>
      <c r="C30" s="26"/>
      <c r="D30" s="36" t="s">
        <v>123</v>
      </c>
      <c r="E30" s="21"/>
    </row>
    <row r="31" spans="1:5" ht="18" customHeight="1" x14ac:dyDescent="0.25">
      <c r="A31" s="20" t="s">
        <v>36</v>
      </c>
      <c r="B31" s="30" t="s">
        <v>53</v>
      </c>
      <c r="C31" s="26"/>
      <c r="D31" s="36" t="s">
        <v>123</v>
      </c>
      <c r="E31" s="21"/>
    </row>
    <row r="32" spans="1:5" ht="18" customHeight="1" x14ac:dyDescent="0.25">
      <c r="A32" s="20" t="s">
        <v>36</v>
      </c>
      <c r="B32" s="30" t="s">
        <v>54</v>
      </c>
      <c r="C32" s="26"/>
      <c r="D32" s="36" t="s">
        <v>123</v>
      </c>
      <c r="E32" s="21"/>
    </row>
    <row r="33" spans="1:5" ht="18" customHeight="1" x14ac:dyDescent="0.25">
      <c r="A33" s="20" t="s">
        <v>36</v>
      </c>
      <c r="B33" s="30" t="s">
        <v>55</v>
      </c>
      <c r="C33" s="26"/>
      <c r="D33" s="36" t="s">
        <v>123</v>
      </c>
      <c r="E33" s="21"/>
    </row>
    <row r="34" spans="1:5" ht="6" customHeight="1" x14ac:dyDescent="0.25">
      <c r="A34" s="22"/>
      <c r="B34" s="22"/>
      <c r="C34" s="22"/>
      <c r="D34" s="22"/>
      <c r="E34" s="22"/>
    </row>
    <row r="35" spans="1:5" ht="20.100000000000001" customHeight="1" x14ac:dyDescent="0.25">
      <c r="A35" s="34" t="s">
        <v>56</v>
      </c>
      <c r="B35" s="26"/>
      <c r="C35" s="26"/>
      <c r="D35" s="11" t="s">
        <v>26</v>
      </c>
      <c r="E35" s="12"/>
    </row>
    <row r="36" spans="1:5" ht="14.1" customHeight="1" x14ac:dyDescent="0.25">
      <c r="A36" s="32" t="s">
        <v>27</v>
      </c>
      <c r="B36" s="26"/>
      <c r="C36" s="26"/>
      <c r="D36" s="26"/>
      <c r="E36" s="26"/>
    </row>
    <row r="37" spans="1:5" ht="30" customHeight="1" x14ac:dyDescent="0.25">
      <c r="A37" s="13">
        <v>15</v>
      </c>
      <c r="B37" s="31" t="s">
        <v>57</v>
      </c>
      <c r="C37" s="26"/>
      <c r="D37" s="14"/>
      <c r="E37" s="14"/>
    </row>
    <row r="38" spans="1:5" ht="30" customHeight="1" x14ac:dyDescent="0.25">
      <c r="A38" s="13">
        <v>10</v>
      </c>
      <c r="B38" s="31" t="s">
        <v>58</v>
      </c>
      <c r="C38" s="26"/>
      <c r="D38" s="14"/>
      <c r="E38" s="14"/>
    </row>
    <row r="39" spans="1:5" ht="30" customHeight="1" x14ac:dyDescent="0.25">
      <c r="A39" s="13">
        <v>5</v>
      </c>
      <c r="B39" s="31" t="s">
        <v>59</v>
      </c>
      <c r="C39" s="26"/>
      <c r="D39" s="14"/>
      <c r="E39" s="14"/>
    </row>
    <row r="40" spans="1:5" ht="30" customHeight="1" x14ac:dyDescent="0.25">
      <c r="A40" s="13">
        <v>0</v>
      </c>
      <c r="B40" s="31" t="s">
        <v>60</v>
      </c>
      <c r="C40" s="26"/>
      <c r="D40" s="14"/>
      <c r="E40" s="14"/>
    </row>
    <row r="41" spans="1:5" ht="21.95" customHeight="1" x14ac:dyDescent="0.25">
      <c r="A41" s="15" t="s">
        <v>32</v>
      </c>
      <c r="B41" s="16" t="s">
        <v>33</v>
      </c>
      <c r="C41" s="17" t="s">
        <v>34</v>
      </c>
      <c r="D41" s="18">
        <v>15</v>
      </c>
      <c r="E41" s="19"/>
    </row>
    <row r="42" spans="1:5" ht="14.1" customHeight="1" x14ac:dyDescent="0.25">
      <c r="A42" s="35" t="s">
        <v>35</v>
      </c>
      <c r="B42" s="26"/>
      <c r="C42" s="26"/>
      <c r="D42" s="26"/>
      <c r="E42" s="26"/>
    </row>
    <row r="43" spans="1:5" ht="18" customHeight="1" x14ac:dyDescent="0.25">
      <c r="A43" s="20" t="s">
        <v>36</v>
      </c>
      <c r="B43" s="30" t="s">
        <v>61</v>
      </c>
      <c r="C43" s="26"/>
      <c r="D43" s="36" t="s">
        <v>123</v>
      </c>
      <c r="E43" s="21"/>
    </row>
    <row r="44" spans="1:5" ht="18" customHeight="1" x14ac:dyDescent="0.25">
      <c r="A44" s="20" t="s">
        <v>36</v>
      </c>
      <c r="B44" s="30" t="s">
        <v>62</v>
      </c>
      <c r="C44" s="26"/>
      <c r="D44" s="36" t="s">
        <v>123</v>
      </c>
      <c r="E44" s="21"/>
    </row>
    <row r="45" spans="1:5" ht="18" customHeight="1" x14ac:dyDescent="0.25">
      <c r="A45" s="20" t="s">
        <v>36</v>
      </c>
      <c r="B45" s="30" t="s">
        <v>63</v>
      </c>
      <c r="C45" s="26"/>
      <c r="D45" s="36" t="s">
        <v>123</v>
      </c>
      <c r="E45" s="21"/>
    </row>
    <row r="46" spans="1:5" ht="18" customHeight="1" x14ac:dyDescent="0.25">
      <c r="A46" s="20" t="s">
        <v>36</v>
      </c>
      <c r="B46" s="30" t="s">
        <v>64</v>
      </c>
      <c r="C46" s="26"/>
      <c r="D46" s="36" t="s">
        <v>123</v>
      </c>
      <c r="E46" s="21"/>
    </row>
    <row r="47" spans="1:5" ht="18" customHeight="1" x14ac:dyDescent="0.25">
      <c r="A47" s="20" t="s">
        <v>36</v>
      </c>
      <c r="B47" s="30" t="s">
        <v>65</v>
      </c>
      <c r="C47" s="26"/>
      <c r="D47" s="36" t="s">
        <v>123</v>
      </c>
      <c r="E47" s="21"/>
    </row>
    <row r="48" spans="1:5" ht="18" customHeight="1" x14ac:dyDescent="0.25">
      <c r="A48" s="20" t="s">
        <v>36</v>
      </c>
      <c r="B48" s="30" t="s">
        <v>66</v>
      </c>
      <c r="C48" s="26"/>
      <c r="D48" s="36" t="s">
        <v>123</v>
      </c>
      <c r="E48" s="21"/>
    </row>
    <row r="49" spans="1:5" ht="6" customHeight="1" x14ac:dyDescent="0.25">
      <c r="A49" s="22"/>
      <c r="B49" s="22"/>
      <c r="C49" s="22"/>
      <c r="D49" s="22"/>
      <c r="E49" s="22"/>
    </row>
    <row r="50" spans="1:5" ht="20.100000000000001" customHeight="1" x14ac:dyDescent="0.25">
      <c r="A50" s="34" t="s">
        <v>67</v>
      </c>
      <c r="B50" s="26"/>
      <c r="C50" s="26"/>
      <c r="D50" s="11" t="s">
        <v>44</v>
      </c>
      <c r="E50" s="12"/>
    </row>
    <row r="51" spans="1:5" ht="14.1" customHeight="1" x14ac:dyDescent="0.25">
      <c r="A51" s="32" t="s">
        <v>27</v>
      </c>
      <c r="B51" s="26"/>
      <c r="C51" s="26"/>
      <c r="D51" s="26"/>
      <c r="E51" s="26"/>
    </row>
    <row r="52" spans="1:5" ht="30" customHeight="1" x14ac:dyDescent="0.25">
      <c r="A52" s="13">
        <v>20</v>
      </c>
      <c r="B52" s="31" t="s">
        <v>68</v>
      </c>
      <c r="C52" s="26"/>
      <c r="D52" s="14"/>
      <c r="E52" s="14"/>
    </row>
    <row r="53" spans="1:5" ht="30" customHeight="1" x14ac:dyDescent="0.25">
      <c r="A53" s="13">
        <v>15</v>
      </c>
      <c r="B53" s="31" t="s">
        <v>69</v>
      </c>
      <c r="C53" s="26"/>
      <c r="D53" s="14"/>
      <c r="E53" s="14"/>
    </row>
    <row r="54" spans="1:5" ht="30" customHeight="1" x14ac:dyDescent="0.25">
      <c r="A54" s="13">
        <v>10</v>
      </c>
      <c r="B54" s="31" t="s">
        <v>70</v>
      </c>
      <c r="C54" s="26"/>
      <c r="D54" s="14"/>
      <c r="E54" s="14"/>
    </row>
    <row r="55" spans="1:5" ht="30" customHeight="1" x14ac:dyDescent="0.25">
      <c r="A55" s="13">
        <v>5</v>
      </c>
      <c r="B55" s="31" t="s">
        <v>71</v>
      </c>
      <c r="C55" s="26"/>
      <c r="D55" s="14"/>
      <c r="E55" s="14"/>
    </row>
    <row r="56" spans="1:5" ht="30" customHeight="1" x14ac:dyDescent="0.25">
      <c r="A56" s="13">
        <v>0</v>
      </c>
      <c r="B56" s="31" t="s">
        <v>72</v>
      </c>
      <c r="C56" s="26"/>
      <c r="D56" s="14"/>
      <c r="E56" s="14"/>
    </row>
    <row r="57" spans="1:5" ht="21.95" customHeight="1" x14ac:dyDescent="0.25">
      <c r="A57" s="15" t="s">
        <v>32</v>
      </c>
      <c r="B57" s="16" t="s">
        <v>33</v>
      </c>
      <c r="C57" s="17" t="s">
        <v>50</v>
      </c>
      <c r="D57" s="18">
        <v>20</v>
      </c>
      <c r="E57" s="19"/>
    </row>
    <row r="58" spans="1:5" ht="14.1" customHeight="1" x14ac:dyDescent="0.25">
      <c r="A58" s="35" t="s">
        <v>35</v>
      </c>
      <c r="B58" s="26"/>
      <c r="C58" s="26"/>
      <c r="D58" s="26"/>
      <c r="E58" s="26"/>
    </row>
    <row r="59" spans="1:5" ht="18" customHeight="1" x14ac:dyDescent="0.25">
      <c r="A59" s="20" t="s">
        <v>36</v>
      </c>
      <c r="B59" s="30" t="s">
        <v>73</v>
      </c>
      <c r="C59" s="26"/>
      <c r="D59" s="21"/>
      <c r="E59" s="21"/>
    </row>
    <row r="60" spans="1:5" ht="18" customHeight="1" x14ac:dyDescent="0.25">
      <c r="A60" s="20" t="s">
        <v>36</v>
      </c>
      <c r="B60" s="30" t="s">
        <v>74</v>
      </c>
      <c r="C60" s="26"/>
      <c r="D60" s="21"/>
      <c r="E60" s="21"/>
    </row>
    <row r="61" spans="1:5" ht="18" customHeight="1" x14ac:dyDescent="0.25">
      <c r="A61" s="20" t="s">
        <v>36</v>
      </c>
      <c r="B61" s="30" t="s">
        <v>75</v>
      </c>
      <c r="C61" s="26"/>
      <c r="D61" s="21"/>
      <c r="E61" s="21"/>
    </row>
    <row r="62" spans="1:5" ht="18" customHeight="1" x14ac:dyDescent="0.25">
      <c r="A62" s="20" t="s">
        <v>36</v>
      </c>
      <c r="B62" s="30" t="s">
        <v>76</v>
      </c>
      <c r="C62" s="26"/>
      <c r="D62" s="21"/>
      <c r="E62" s="21"/>
    </row>
    <row r="63" spans="1:5" ht="18" customHeight="1" x14ac:dyDescent="0.25">
      <c r="A63" s="20" t="s">
        <v>36</v>
      </c>
      <c r="B63" s="30" t="s">
        <v>77</v>
      </c>
      <c r="C63" s="26"/>
      <c r="D63" s="21"/>
      <c r="E63" s="21"/>
    </row>
    <row r="64" spans="1:5" ht="18" customHeight="1" x14ac:dyDescent="0.25">
      <c r="A64" s="20" t="s">
        <v>36</v>
      </c>
      <c r="B64" s="30" t="s">
        <v>78</v>
      </c>
      <c r="C64" s="26"/>
      <c r="D64" s="21"/>
      <c r="E64" s="21"/>
    </row>
    <row r="65" spans="1:5" ht="6" customHeight="1" x14ac:dyDescent="0.25">
      <c r="A65" s="22"/>
      <c r="B65" s="22"/>
      <c r="C65" s="22"/>
      <c r="D65" s="22"/>
      <c r="E65" s="22"/>
    </row>
    <row r="66" spans="1:5" ht="20.100000000000001" customHeight="1" x14ac:dyDescent="0.25">
      <c r="A66" s="34" t="s">
        <v>79</v>
      </c>
      <c r="B66" s="26"/>
      <c r="C66" s="26"/>
      <c r="D66" s="11" t="s">
        <v>80</v>
      </c>
      <c r="E66" s="12"/>
    </row>
    <row r="67" spans="1:5" ht="14.1" customHeight="1" x14ac:dyDescent="0.25">
      <c r="A67" s="32" t="s">
        <v>27</v>
      </c>
      <c r="B67" s="26"/>
      <c r="C67" s="26"/>
      <c r="D67" s="26"/>
      <c r="E67" s="26"/>
    </row>
    <row r="68" spans="1:5" ht="30" customHeight="1" x14ac:dyDescent="0.25">
      <c r="A68" s="13">
        <v>10</v>
      </c>
      <c r="B68" s="31" t="s">
        <v>81</v>
      </c>
      <c r="C68" s="26"/>
      <c r="D68" s="14"/>
      <c r="E68" s="14"/>
    </row>
    <row r="69" spans="1:5" ht="30" customHeight="1" x14ac:dyDescent="0.25">
      <c r="A69" s="13">
        <v>6</v>
      </c>
      <c r="B69" s="31" t="s">
        <v>82</v>
      </c>
      <c r="C69" s="26"/>
      <c r="D69" s="14"/>
      <c r="E69" s="14"/>
    </row>
    <row r="70" spans="1:5" ht="30" customHeight="1" x14ac:dyDescent="0.25">
      <c r="A70" s="13">
        <v>3</v>
      </c>
      <c r="B70" s="31" t="s">
        <v>83</v>
      </c>
      <c r="C70" s="26"/>
      <c r="D70" s="14"/>
      <c r="E70" s="14"/>
    </row>
    <row r="71" spans="1:5" ht="30" customHeight="1" x14ac:dyDescent="0.25">
      <c r="A71" s="13">
        <v>0</v>
      </c>
      <c r="B71" s="31" t="s">
        <v>84</v>
      </c>
      <c r="C71" s="26"/>
      <c r="D71" s="14"/>
      <c r="E71" s="14"/>
    </row>
    <row r="72" spans="1:5" ht="21.95" customHeight="1" x14ac:dyDescent="0.25">
      <c r="A72" s="15" t="s">
        <v>32</v>
      </c>
      <c r="B72" s="16" t="s">
        <v>33</v>
      </c>
      <c r="C72" s="17" t="s">
        <v>85</v>
      </c>
      <c r="D72" s="18">
        <v>10</v>
      </c>
      <c r="E72" s="19"/>
    </row>
    <row r="73" spans="1:5" ht="14.1" customHeight="1" x14ac:dyDescent="0.25">
      <c r="A73" s="35" t="s">
        <v>35</v>
      </c>
      <c r="B73" s="26"/>
      <c r="C73" s="26"/>
      <c r="D73" s="26"/>
      <c r="E73" s="26"/>
    </row>
    <row r="74" spans="1:5" ht="18" customHeight="1" x14ac:dyDescent="0.25">
      <c r="A74" s="20" t="s">
        <v>36</v>
      </c>
      <c r="B74" s="30" t="s">
        <v>86</v>
      </c>
      <c r="C74" s="26"/>
      <c r="D74" s="36" t="s">
        <v>123</v>
      </c>
      <c r="E74" s="21"/>
    </row>
    <row r="75" spans="1:5" ht="18" customHeight="1" x14ac:dyDescent="0.25">
      <c r="A75" s="20" t="s">
        <v>36</v>
      </c>
      <c r="B75" s="30" t="s">
        <v>87</v>
      </c>
      <c r="C75" s="26"/>
      <c r="D75" s="36" t="s">
        <v>123</v>
      </c>
      <c r="E75" s="21"/>
    </row>
    <row r="76" spans="1:5" ht="18" customHeight="1" x14ac:dyDescent="0.25">
      <c r="A76" s="20" t="s">
        <v>36</v>
      </c>
      <c r="B76" s="30" t="s">
        <v>88</v>
      </c>
      <c r="C76" s="26"/>
      <c r="D76" s="36" t="s">
        <v>123</v>
      </c>
      <c r="E76" s="21"/>
    </row>
    <row r="77" spans="1:5" ht="18" customHeight="1" x14ac:dyDescent="0.25">
      <c r="A77" s="20" t="s">
        <v>36</v>
      </c>
      <c r="B77" s="30" t="s">
        <v>89</v>
      </c>
      <c r="C77" s="26"/>
      <c r="D77" s="36" t="s">
        <v>123</v>
      </c>
      <c r="E77" s="21"/>
    </row>
    <row r="78" spans="1:5" ht="6" customHeight="1" x14ac:dyDescent="0.25">
      <c r="A78" s="22"/>
      <c r="B78" s="22"/>
      <c r="C78" s="22"/>
      <c r="D78" s="22"/>
      <c r="E78" s="22"/>
    </row>
    <row r="79" spans="1:5" ht="20.100000000000001" customHeight="1" x14ac:dyDescent="0.25">
      <c r="A79" s="34" t="s">
        <v>90</v>
      </c>
      <c r="B79" s="26"/>
      <c r="C79" s="26"/>
      <c r="D79" s="11" t="s">
        <v>80</v>
      </c>
      <c r="E79" s="12"/>
    </row>
    <row r="80" spans="1:5" ht="14.1" customHeight="1" x14ac:dyDescent="0.25">
      <c r="A80" s="32" t="s">
        <v>27</v>
      </c>
      <c r="B80" s="26"/>
      <c r="C80" s="26"/>
      <c r="D80" s="26"/>
      <c r="E80" s="26"/>
    </row>
    <row r="81" spans="1:5" ht="30" customHeight="1" x14ac:dyDescent="0.25">
      <c r="A81" s="13">
        <v>10</v>
      </c>
      <c r="B81" s="31" t="s">
        <v>91</v>
      </c>
      <c r="C81" s="26"/>
      <c r="D81" s="14"/>
      <c r="E81" s="14"/>
    </row>
    <row r="82" spans="1:5" ht="30" customHeight="1" x14ac:dyDescent="0.25">
      <c r="A82" s="13">
        <v>7</v>
      </c>
      <c r="B82" s="31" t="s">
        <v>92</v>
      </c>
      <c r="C82" s="26"/>
      <c r="D82" s="14"/>
      <c r="E82" s="14"/>
    </row>
    <row r="83" spans="1:5" ht="30" customHeight="1" x14ac:dyDescent="0.25">
      <c r="A83" s="13">
        <v>4</v>
      </c>
      <c r="B83" s="31" t="s">
        <v>93</v>
      </c>
      <c r="C83" s="26"/>
      <c r="D83" s="14"/>
      <c r="E83" s="14"/>
    </row>
    <row r="84" spans="1:5" ht="30" customHeight="1" x14ac:dyDescent="0.25">
      <c r="A84" s="13">
        <v>0</v>
      </c>
      <c r="B84" s="31" t="s">
        <v>94</v>
      </c>
      <c r="C84" s="26"/>
      <c r="D84" s="14"/>
      <c r="E84" s="14"/>
    </row>
    <row r="85" spans="1:5" ht="21.95" customHeight="1" x14ac:dyDescent="0.25">
      <c r="A85" s="15" t="s">
        <v>32</v>
      </c>
      <c r="B85" s="16" t="s">
        <v>33</v>
      </c>
      <c r="C85" s="17" t="s">
        <v>85</v>
      </c>
      <c r="D85" s="18">
        <v>10</v>
      </c>
      <c r="E85" s="19"/>
    </row>
    <row r="86" spans="1:5" ht="14.1" customHeight="1" x14ac:dyDescent="0.25">
      <c r="A86" s="35" t="s">
        <v>35</v>
      </c>
      <c r="B86" s="26"/>
      <c r="C86" s="26"/>
      <c r="D86" s="26"/>
      <c r="E86" s="26"/>
    </row>
    <row r="87" spans="1:5" ht="18" customHeight="1" x14ac:dyDescent="0.25">
      <c r="A87" s="20" t="s">
        <v>36</v>
      </c>
      <c r="B87" s="30" t="s">
        <v>95</v>
      </c>
      <c r="C87" s="26"/>
      <c r="D87" s="36" t="s">
        <v>123</v>
      </c>
      <c r="E87" s="21"/>
    </row>
    <row r="88" spans="1:5" ht="18" customHeight="1" x14ac:dyDescent="0.25">
      <c r="A88" s="20" t="s">
        <v>36</v>
      </c>
      <c r="B88" s="30" t="s">
        <v>96</v>
      </c>
      <c r="C88" s="26"/>
      <c r="D88" s="36" t="s">
        <v>123</v>
      </c>
      <c r="E88" s="21"/>
    </row>
    <row r="89" spans="1:5" ht="18" customHeight="1" x14ac:dyDescent="0.25">
      <c r="A89" s="20" t="s">
        <v>36</v>
      </c>
      <c r="B89" s="30" t="s">
        <v>97</v>
      </c>
      <c r="C89" s="26"/>
      <c r="D89" s="36" t="s">
        <v>123</v>
      </c>
      <c r="E89" s="21"/>
    </row>
    <row r="90" spans="1:5" ht="18" customHeight="1" x14ac:dyDescent="0.25">
      <c r="A90" s="20" t="s">
        <v>36</v>
      </c>
      <c r="B90" s="30" t="s">
        <v>98</v>
      </c>
      <c r="C90" s="26"/>
      <c r="D90" s="36" t="s">
        <v>123</v>
      </c>
      <c r="E90" s="21"/>
    </row>
    <row r="91" spans="1:5" ht="18" customHeight="1" x14ac:dyDescent="0.25">
      <c r="A91" s="20" t="s">
        <v>36</v>
      </c>
      <c r="B91" s="30" t="s">
        <v>99</v>
      </c>
      <c r="C91" s="26"/>
      <c r="D91" s="36" t="s">
        <v>123</v>
      </c>
      <c r="E91" s="21"/>
    </row>
    <row r="92" spans="1:5" ht="18" customHeight="1" x14ac:dyDescent="0.25">
      <c r="A92" s="20" t="s">
        <v>36</v>
      </c>
      <c r="B92" s="30" t="s">
        <v>100</v>
      </c>
      <c r="C92" s="26"/>
      <c r="D92" s="36" t="s">
        <v>123</v>
      </c>
      <c r="E92" s="21"/>
    </row>
    <row r="93" spans="1:5" ht="6" customHeight="1" x14ac:dyDescent="0.25">
      <c r="A93" s="22"/>
      <c r="B93" s="22"/>
      <c r="C93" s="22"/>
      <c r="D93" s="22"/>
      <c r="E93" s="22"/>
    </row>
    <row r="94" spans="1:5" ht="20.100000000000001" customHeight="1" x14ac:dyDescent="0.25">
      <c r="A94" s="34" t="s">
        <v>101</v>
      </c>
      <c r="B94" s="26"/>
      <c r="C94" s="26"/>
      <c r="D94" s="11" t="s">
        <v>102</v>
      </c>
      <c r="E94" s="12"/>
    </row>
    <row r="95" spans="1:5" ht="14.1" customHeight="1" x14ac:dyDescent="0.25">
      <c r="A95" s="32" t="s">
        <v>27</v>
      </c>
      <c r="B95" s="26"/>
      <c r="C95" s="26"/>
      <c r="D95" s="26"/>
      <c r="E95" s="26"/>
    </row>
    <row r="96" spans="1:5" ht="30" customHeight="1" x14ac:dyDescent="0.25">
      <c r="A96" s="13">
        <v>5</v>
      </c>
      <c r="B96" s="31" t="s">
        <v>103</v>
      </c>
      <c r="C96" s="26"/>
      <c r="D96" s="14"/>
      <c r="E96" s="14"/>
    </row>
    <row r="97" spans="1:5" ht="30" customHeight="1" x14ac:dyDescent="0.25">
      <c r="A97" s="13">
        <v>3</v>
      </c>
      <c r="B97" s="31" t="s">
        <v>104</v>
      </c>
      <c r="C97" s="26"/>
      <c r="D97" s="14"/>
      <c r="E97" s="14"/>
    </row>
    <row r="98" spans="1:5" ht="30" customHeight="1" x14ac:dyDescent="0.25">
      <c r="A98" s="13">
        <v>1</v>
      </c>
      <c r="B98" s="31" t="s">
        <v>105</v>
      </c>
      <c r="C98" s="26"/>
      <c r="D98" s="14"/>
      <c r="E98" s="14"/>
    </row>
    <row r="99" spans="1:5" ht="30" customHeight="1" x14ac:dyDescent="0.25">
      <c r="A99" s="13">
        <v>0</v>
      </c>
      <c r="B99" s="31" t="s">
        <v>106</v>
      </c>
      <c r="C99" s="26"/>
      <c r="D99" s="14"/>
      <c r="E99" s="14"/>
    </row>
    <row r="100" spans="1:5" ht="21.95" customHeight="1" x14ac:dyDescent="0.25">
      <c r="A100" s="15" t="s">
        <v>32</v>
      </c>
      <c r="B100" s="16" t="s">
        <v>33</v>
      </c>
      <c r="C100" s="17" t="s">
        <v>107</v>
      </c>
      <c r="D100" s="18">
        <v>5</v>
      </c>
      <c r="E100" s="19"/>
    </row>
    <row r="101" spans="1:5" ht="14.1" customHeight="1" x14ac:dyDescent="0.25">
      <c r="A101" s="35" t="s">
        <v>35</v>
      </c>
      <c r="B101" s="26"/>
      <c r="C101" s="26"/>
      <c r="D101" s="26"/>
      <c r="E101" s="26"/>
    </row>
    <row r="102" spans="1:5" ht="18" customHeight="1" x14ac:dyDescent="0.25">
      <c r="A102" s="20" t="s">
        <v>36</v>
      </c>
      <c r="B102" s="30" t="s">
        <v>108</v>
      </c>
      <c r="C102" s="26"/>
      <c r="D102" s="36" t="s">
        <v>123</v>
      </c>
      <c r="E102" s="21"/>
    </row>
    <row r="103" spans="1:5" ht="18" customHeight="1" x14ac:dyDescent="0.25">
      <c r="A103" s="20" t="s">
        <v>36</v>
      </c>
      <c r="B103" s="30" t="s">
        <v>109</v>
      </c>
      <c r="C103" s="26"/>
      <c r="D103" s="36" t="s">
        <v>123</v>
      </c>
      <c r="E103" s="21"/>
    </row>
    <row r="104" spans="1:5" ht="18" customHeight="1" x14ac:dyDescent="0.25">
      <c r="A104" s="20" t="s">
        <v>36</v>
      </c>
      <c r="B104" s="30" t="s">
        <v>110</v>
      </c>
      <c r="C104" s="26"/>
      <c r="D104" s="36" t="s">
        <v>123</v>
      </c>
      <c r="E104" s="21"/>
    </row>
    <row r="105" spans="1:5" ht="18" customHeight="1" x14ac:dyDescent="0.25">
      <c r="A105" s="20" t="s">
        <v>36</v>
      </c>
      <c r="B105" s="30" t="s">
        <v>111</v>
      </c>
      <c r="C105" s="26"/>
      <c r="D105" s="36" t="s">
        <v>123</v>
      </c>
      <c r="E105" s="21"/>
    </row>
    <row r="106" spans="1:5" ht="18" customHeight="1" x14ac:dyDescent="0.25">
      <c r="A106" s="20" t="s">
        <v>36</v>
      </c>
      <c r="B106" s="30" t="s">
        <v>112</v>
      </c>
      <c r="C106" s="26"/>
      <c r="D106" s="36" t="s">
        <v>123</v>
      </c>
      <c r="E106" s="21"/>
    </row>
    <row r="107" spans="1:5" ht="6" customHeight="1" x14ac:dyDescent="0.25">
      <c r="A107" s="22"/>
      <c r="B107" s="22"/>
      <c r="C107" s="22"/>
      <c r="D107" s="22"/>
      <c r="E107" s="22"/>
    </row>
    <row r="108" spans="1:5" ht="20.100000000000001" customHeight="1" x14ac:dyDescent="0.25">
      <c r="A108" s="34" t="s">
        <v>113</v>
      </c>
      <c r="B108" s="26"/>
      <c r="C108" s="26"/>
      <c r="D108" s="11" t="s">
        <v>102</v>
      </c>
      <c r="E108" s="12"/>
    </row>
    <row r="109" spans="1:5" ht="14.1" customHeight="1" x14ac:dyDescent="0.25">
      <c r="A109" s="32" t="s">
        <v>27</v>
      </c>
      <c r="B109" s="26"/>
      <c r="C109" s="26"/>
      <c r="D109" s="26"/>
      <c r="E109" s="26"/>
    </row>
    <row r="110" spans="1:5" ht="30" customHeight="1" x14ac:dyDescent="0.25">
      <c r="A110" s="13">
        <v>5</v>
      </c>
      <c r="B110" s="31" t="s">
        <v>114</v>
      </c>
      <c r="C110" s="26"/>
      <c r="D110" s="14"/>
      <c r="E110" s="14"/>
    </row>
    <row r="111" spans="1:5" ht="30" customHeight="1" x14ac:dyDescent="0.25">
      <c r="A111" s="13">
        <v>3</v>
      </c>
      <c r="B111" s="31" t="s">
        <v>115</v>
      </c>
      <c r="C111" s="26"/>
      <c r="D111" s="14"/>
      <c r="E111" s="14"/>
    </row>
    <row r="112" spans="1:5" ht="30" customHeight="1" x14ac:dyDescent="0.25">
      <c r="A112" s="13">
        <v>0</v>
      </c>
      <c r="B112" s="31" t="s">
        <v>116</v>
      </c>
      <c r="C112" s="26"/>
      <c r="D112" s="14"/>
      <c r="E112" s="14"/>
    </row>
    <row r="113" spans="1:5" ht="21.95" customHeight="1" x14ac:dyDescent="0.25">
      <c r="A113" s="15" t="s">
        <v>32</v>
      </c>
      <c r="B113" s="16" t="s">
        <v>33</v>
      </c>
      <c r="C113" s="17" t="s">
        <v>107</v>
      </c>
      <c r="D113" s="18">
        <v>5</v>
      </c>
      <c r="E113" s="19"/>
    </row>
    <row r="114" spans="1:5" ht="14.1" customHeight="1" x14ac:dyDescent="0.25">
      <c r="A114" s="35" t="s">
        <v>35</v>
      </c>
      <c r="B114" s="26"/>
      <c r="C114" s="26"/>
      <c r="D114" s="26"/>
      <c r="E114" s="26"/>
    </row>
    <row r="115" spans="1:5" ht="18" customHeight="1" x14ac:dyDescent="0.25">
      <c r="A115" s="20" t="s">
        <v>36</v>
      </c>
      <c r="B115" s="30" t="s">
        <v>117</v>
      </c>
      <c r="C115" s="26"/>
      <c r="D115" s="36" t="s">
        <v>123</v>
      </c>
      <c r="E115" s="21"/>
    </row>
    <row r="116" spans="1:5" ht="18" customHeight="1" x14ac:dyDescent="0.25">
      <c r="A116" s="20" t="s">
        <v>36</v>
      </c>
      <c r="B116" s="30" t="s">
        <v>118</v>
      </c>
      <c r="C116" s="26"/>
      <c r="D116" s="36" t="s">
        <v>123</v>
      </c>
      <c r="E116" s="21"/>
    </row>
    <row r="117" spans="1:5" ht="18" customHeight="1" x14ac:dyDescent="0.25">
      <c r="A117" s="20" t="s">
        <v>36</v>
      </c>
      <c r="B117" s="30" t="s">
        <v>119</v>
      </c>
      <c r="C117" s="26"/>
      <c r="D117" s="36" t="s">
        <v>123</v>
      </c>
      <c r="E117" s="21"/>
    </row>
    <row r="118" spans="1:5" ht="6" customHeight="1" x14ac:dyDescent="0.25">
      <c r="A118" s="22"/>
      <c r="B118" s="22"/>
      <c r="C118" s="22"/>
      <c r="D118" s="21"/>
      <c r="E118" s="22"/>
    </row>
    <row r="119" spans="1:5" ht="27.95" customHeight="1" x14ac:dyDescent="0.25">
      <c r="A119" s="33" t="s">
        <v>15</v>
      </c>
      <c r="B119" s="26"/>
      <c r="C119" s="26"/>
      <c r="D119" s="23">
        <f>IFERROR(SUM(D11,D27,D41,D57,D72,D85,D100,D113),"")</f>
        <v>100</v>
      </c>
      <c r="E119" s="24" t="s">
        <v>120</v>
      </c>
    </row>
  </sheetData>
  <mergeCells count="101">
    <mergeCell ref="A114:E114"/>
    <mergeCell ref="B47:C47"/>
    <mergeCell ref="B62:C62"/>
    <mergeCell ref="B59:C59"/>
    <mergeCell ref="B46:C46"/>
    <mergeCell ref="A51:E51"/>
    <mergeCell ref="B39:C39"/>
    <mergeCell ref="B70:C70"/>
    <mergeCell ref="B48:C48"/>
    <mergeCell ref="B111:C111"/>
    <mergeCell ref="B87:C87"/>
    <mergeCell ref="A101:E101"/>
    <mergeCell ref="B74:C74"/>
    <mergeCell ref="A109:E109"/>
    <mergeCell ref="B68:C68"/>
    <mergeCell ref="A94:C94"/>
    <mergeCell ref="B110:C110"/>
    <mergeCell ref="A2:E2"/>
    <mergeCell ref="A86:E86"/>
    <mergeCell ref="A42:E42"/>
    <mergeCell ref="B99:C99"/>
    <mergeCell ref="B9:C9"/>
    <mergeCell ref="B83:C83"/>
    <mergeCell ref="B92:C92"/>
    <mergeCell ref="B30:C30"/>
    <mergeCell ref="A79:C79"/>
    <mergeCell ref="A28:E28"/>
    <mergeCell ref="B76:C76"/>
    <mergeCell ref="B45:C45"/>
    <mergeCell ref="B75:C75"/>
    <mergeCell ref="B23:C23"/>
    <mergeCell ref="A35:C35"/>
    <mergeCell ref="B8:C8"/>
    <mergeCell ref="B10:C10"/>
    <mergeCell ref="B54:C54"/>
    <mergeCell ref="A108:C108"/>
    <mergeCell ref="B7:C7"/>
    <mergeCell ref="A73:E73"/>
    <mergeCell ref="B81:C81"/>
    <mergeCell ref="A50:C50"/>
    <mergeCell ref="B56:C56"/>
    <mergeCell ref="B71:C71"/>
    <mergeCell ref="B96:C96"/>
    <mergeCell ref="B105:C105"/>
    <mergeCell ref="B43:C43"/>
    <mergeCell ref="B52:C52"/>
    <mergeCell ref="B98:C98"/>
    <mergeCell ref="B60:C60"/>
    <mergeCell ref="B17:C17"/>
    <mergeCell ref="B88:C88"/>
    <mergeCell ref="A20:C20"/>
    <mergeCell ref="B82:C82"/>
    <mergeCell ref="B44:C44"/>
    <mergeCell ref="A119:C119"/>
    <mergeCell ref="B32:C32"/>
    <mergeCell ref="B63:C63"/>
    <mergeCell ref="B26:C26"/>
    <mergeCell ref="B106:C106"/>
    <mergeCell ref="B16:C16"/>
    <mergeCell ref="A66:C66"/>
    <mergeCell ref="B25:C25"/>
    <mergeCell ref="B90:C90"/>
    <mergeCell ref="A36:E36"/>
    <mergeCell ref="B18:C18"/>
    <mergeCell ref="B117:C117"/>
    <mergeCell ref="A80:E80"/>
    <mergeCell ref="B53:C53"/>
    <mergeCell ref="B116:C116"/>
    <mergeCell ref="B29:C29"/>
    <mergeCell ref="A95:E95"/>
    <mergeCell ref="B103:C103"/>
    <mergeCell ref="B37:C37"/>
    <mergeCell ref="B84:C84"/>
    <mergeCell ref="B89:C89"/>
    <mergeCell ref="A58:E58"/>
    <mergeCell ref="A67:E67"/>
    <mergeCell ref="B97:C97"/>
    <mergeCell ref="B91:C91"/>
    <mergeCell ref="B22:C22"/>
    <mergeCell ref="A1:E1"/>
    <mergeCell ref="B115:C115"/>
    <mergeCell ref="B31:C31"/>
    <mergeCell ref="B102:C102"/>
    <mergeCell ref="B77:C77"/>
    <mergeCell ref="B61:C61"/>
    <mergeCell ref="B14:C14"/>
    <mergeCell ref="B13:C13"/>
    <mergeCell ref="A21:E21"/>
    <mergeCell ref="B69:C69"/>
    <mergeCell ref="B38:C38"/>
    <mergeCell ref="B112:C112"/>
    <mergeCell ref="B40:C40"/>
    <mergeCell ref="B55:C55"/>
    <mergeCell ref="B24:C24"/>
    <mergeCell ref="B64:C64"/>
    <mergeCell ref="B33:C33"/>
    <mergeCell ref="B104:C104"/>
    <mergeCell ref="A6:E6"/>
    <mergeCell ref="A5:C5"/>
    <mergeCell ref="A12:E12"/>
    <mergeCell ref="B15:C15"/>
  </mergeCells>
  <dataValidations count="6">
    <dataValidation type="list" allowBlank="1" errorTitle="Valor inválido" error="Use os valores da rubrica: [15, 10, 5, 0]" sqref="D11 D41" xr:uid="{00000000-0002-0000-0100-000000000000}">
      <formula1>"15,10,5,0"</formula1>
    </dataValidation>
    <dataValidation type="list" allowBlank="1" errorTitle="Valor inválido" error="Use os valores da rubrica: [20, 15, 10, 5, 0]" sqref="D27 D57" xr:uid="{00000000-0002-0000-0100-000001000000}">
      <formula1>"20,15,10,5,0"</formula1>
    </dataValidation>
    <dataValidation type="list" allowBlank="1" errorTitle="Valor inválido" error="Use os valores da rubrica: [10, 6, 3, 0]" sqref="D72" xr:uid="{00000000-0002-0000-0100-000004000000}">
      <formula1>"10,6,3,0"</formula1>
    </dataValidation>
    <dataValidation type="list" allowBlank="1" errorTitle="Valor inválido" error="Use os valores da rubrica: [10, 7, 4, 0]" sqref="D85" xr:uid="{00000000-0002-0000-0100-000005000000}">
      <formula1>"10,7,4,0"</formula1>
    </dataValidation>
    <dataValidation type="list" allowBlank="1" errorTitle="Valor inválido" error="Use os valores da rubrica: [5, 3, 1, 0]" sqref="D100" xr:uid="{00000000-0002-0000-0100-000006000000}">
      <formula1>"5,3,1,0"</formula1>
    </dataValidation>
    <dataValidation type="list" allowBlank="1" errorTitle="Valor inválido" error="Use os valores da rubrica: [5, 3, 0]" sqref="D113" xr:uid="{00000000-0002-0000-0100-000007000000}">
      <formula1>"5,3,0"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9"/>
  <sheetViews>
    <sheetView workbookViewId="0">
      <pane ySplit="4" topLeftCell="A5" activePane="bottomLeft" state="frozen"/>
      <selection pane="bottomLeft" activeCell="D13" sqref="D13"/>
    </sheetView>
  </sheetViews>
  <sheetFormatPr defaultRowHeight="15" x14ac:dyDescent="0.25"/>
  <cols>
    <col min="1" max="1" width="4" customWidth="1"/>
    <col min="2" max="2" width="48" customWidth="1"/>
    <col min="3" max="3" width="12" customWidth="1"/>
    <col min="4" max="4" width="14" customWidth="1"/>
    <col min="5" max="5" width="48" customWidth="1"/>
  </cols>
  <sheetData>
    <row r="1" spans="1:5" ht="27.95" customHeight="1" x14ac:dyDescent="0.25">
      <c r="A1" s="28" t="s">
        <v>121</v>
      </c>
      <c r="B1" s="26"/>
      <c r="C1" s="26"/>
      <c r="D1" s="26"/>
      <c r="E1" s="26"/>
    </row>
    <row r="2" spans="1:5" ht="15.95" customHeight="1" x14ac:dyDescent="0.25">
      <c r="A2" s="25" t="s">
        <v>18</v>
      </c>
      <c r="B2" s="26"/>
      <c r="C2" s="26"/>
      <c r="D2" s="26"/>
      <c r="E2" s="26"/>
    </row>
    <row r="3" spans="1:5" x14ac:dyDescent="0.25">
      <c r="D3" s="8" t="s">
        <v>19</v>
      </c>
      <c r="E3" s="9"/>
    </row>
    <row r="4" spans="1:5" ht="21.95" customHeight="1" x14ac:dyDescent="0.25">
      <c r="A4" s="10" t="s">
        <v>20</v>
      </c>
      <c r="B4" s="10" t="s">
        <v>21</v>
      </c>
      <c r="C4" s="10" t="s">
        <v>22</v>
      </c>
      <c r="D4" s="10" t="s">
        <v>23</v>
      </c>
      <c r="E4" s="10" t="s">
        <v>24</v>
      </c>
    </row>
    <row r="5" spans="1:5" ht="20.100000000000001" customHeight="1" x14ac:dyDescent="0.25">
      <c r="A5" s="34" t="s">
        <v>25</v>
      </c>
      <c r="B5" s="26"/>
      <c r="C5" s="26"/>
      <c r="D5" s="11" t="s">
        <v>26</v>
      </c>
      <c r="E5" s="12"/>
    </row>
    <row r="6" spans="1:5" ht="14.1" customHeight="1" x14ac:dyDescent="0.25">
      <c r="A6" s="32" t="s">
        <v>27</v>
      </c>
      <c r="B6" s="26"/>
      <c r="C6" s="26"/>
      <c r="D6" s="26"/>
      <c r="E6" s="26"/>
    </row>
    <row r="7" spans="1:5" ht="30" customHeight="1" x14ac:dyDescent="0.25">
      <c r="A7" s="13">
        <v>15</v>
      </c>
      <c r="B7" s="31" t="s">
        <v>28</v>
      </c>
      <c r="C7" s="26"/>
      <c r="D7" s="14"/>
      <c r="E7" s="14"/>
    </row>
    <row r="8" spans="1:5" ht="30" customHeight="1" x14ac:dyDescent="0.25">
      <c r="A8" s="13">
        <v>10</v>
      </c>
      <c r="B8" s="31" t="s">
        <v>29</v>
      </c>
      <c r="C8" s="26"/>
      <c r="D8" s="14"/>
      <c r="E8" s="14" t="s">
        <v>126</v>
      </c>
    </row>
    <row r="9" spans="1:5" ht="30" customHeight="1" x14ac:dyDescent="0.25">
      <c r="A9" s="13">
        <v>5</v>
      </c>
      <c r="B9" s="31" t="s">
        <v>30</v>
      </c>
      <c r="C9" s="26"/>
      <c r="D9" s="14"/>
      <c r="E9" s="14"/>
    </row>
    <row r="10" spans="1:5" ht="30" customHeight="1" x14ac:dyDescent="0.25">
      <c r="A10" s="13">
        <v>0</v>
      </c>
      <c r="B10" s="31" t="s">
        <v>31</v>
      </c>
      <c r="C10" s="26"/>
      <c r="D10" s="14"/>
      <c r="E10" s="14"/>
    </row>
    <row r="11" spans="1:5" ht="21.95" customHeight="1" x14ac:dyDescent="0.25">
      <c r="A11" s="15" t="s">
        <v>32</v>
      </c>
      <c r="B11" s="16" t="s">
        <v>33</v>
      </c>
      <c r="C11" s="17" t="s">
        <v>34</v>
      </c>
      <c r="D11" s="18">
        <v>10</v>
      </c>
      <c r="E11" s="19"/>
    </row>
    <row r="12" spans="1:5" ht="14.1" customHeight="1" x14ac:dyDescent="0.25">
      <c r="A12" s="35" t="s">
        <v>35</v>
      </c>
      <c r="B12" s="26"/>
      <c r="C12" s="26"/>
      <c r="D12" s="26"/>
      <c r="E12" s="26"/>
    </row>
    <row r="13" spans="1:5" ht="18" customHeight="1" x14ac:dyDescent="0.25">
      <c r="A13" s="20" t="s">
        <v>36</v>
      </c>
      <c r="B13" s="30" t="s">
        <v>37</v>
      </c>
      <c r="C13" s="26"/>
      <c r="D13" s="36" t="s">
        <v>123</v>
      </c>
      <c r="E13" s="21"/>
    </row>
    <row r="14" spans="1:5" ht="18" customHeight="1" x14ac:dyDescent="0.25">
      <c r="A14" s="20" t="s">
        <v>36</v>
      </c>
      <c r="B14" s="30" t="s">
        <v>38</v>
      </c>
      <c r="C14" s="26"/>
      <c r="D14" s="36" t="s">
        <v>123</v>
      </c>
      <c r="E14" s="21"/>
    </row>
    <row r="15" spans="1:5" ht="18" customHeight="1" x14ac:dyDescent="0.25">
      <c r="A15" s="20" t="s">
        <v>36</v>
      </c>
      <c r="B15" s="30" t="s">
        <v>39</v>
      </c>
      <c r="C15" s="26"/>
      <c r="D15" s="36" t="s">
        <v>123</v>
      </c>
      <c r="E15" s="21"/>
    </row>
    <row r="16" spans="1:5" ht="18" customHeight="1" x14ac:dyDescent="0.25">
      <c r="A16" s="20" t="s">
        <v>36</v>
      </c>
      <c r="B16" s="30" t="s">
        <v>40</v>
      </c>
      <c r="C16" s="26"/>
      <c r="D16" s="36" t="s">
        <v>123</v>
      </c>
      <c r="E16" s="21"/>
    </row>
    <row r="17" spans="1:5" ht="18" customHeight="1" x14ac:dyDescent="0.25">
      <c r="A17" s="20" t="s">
        <v>36</v>
      </c>
      <c r="B17" s="30" t="s">
        <v>41</v>
      </c>
      <c r="C17" s="26"/>
      <c r="D17" s="36" t="s">
        <v>123</v>
      </c>
      <c r="E17" s="21"/>
    </row>
    <row r="18" spans="1:5" ht="18" customHeight="1" x14ac:dyDescent="0.25">
      <c r="A18" s="20" t="s">
        <v>36</v>
      </c>
      <c r="B18" s="30" t="s">
        <v>42</v>
      </c>
      <c r="C18" s="26"/>
      <c r="D18" s="36" t="s">
        <v>125</v>
      </c>
      <c r="E18" s="21"/>
    </row>
    <row r="19" spans="1:5" ht="6" customHeight="1" x14ac:dyDescent="0.25">
      <c r="A19" s="22"/>
      <c r="B19" s="22"/>
      <c r="C19" s="22"/>
      <c r="D19" s="22"/>
      <c r="E19" s="22"/>
    </row>
    <row r="20" spans="1:5" ht="20.100000000000001" customHeight="1" x14ac:dyDescent="0.25">
      <c r="A20" s="34" t="s">
        <v>43</v>
      </c>
      <c r="B20" s="26"/>
      <c r="C20" s="26"/>
      <c r="D20" s="11" t="s">
        <v>44</v>
      </c>
      <c r="E20" s="12"/>
    </row>
    <row r="21" spans="1:5" ht="14.1" customHeight="1" x14ac:dyDescent="0.25">
      <c r="A21" s="32" t="s">
        <v>27</v>
      </c>
      <c r="B21" s="26"/>
      <c r="C21" s="26"/>
      <c r="D21" s="26"/>
      <c r="E21" s="26"/>
    </row>
    <row r="22" spans="1:5" ht="30" customHeight="1" x14ac:dyDescent="0.25">
      <c r="A22" s="13">
        <v>20</v>
      </c>
      <c r="B22" s="31" t="s">
        <v>45</v>
      </c>
      <c r="C22" s="26"/>
      <c r="D22" s="14"/>
      <c r="E22" s="14" t="s">
        <v>124</v>
      </c>
    </row>
    <row r="23" spans="1:5" ht="30" customHeight="1" x14ac:dyDescent="0.25">
      <c r="A23" s="13">
        <v>15</v>
      </c>
      <c r="B23" s="31" t="s">
        <v>46</v>
      </c>
      <c r="C23" s="26"/>
      <c r="D23" s="14"/>
      <c r="E23" s="14"/>
    </row>
    <row r="24" spans="1:5" ht="30" customHeight="1" x14ac:dyDescent="0.25">
      <c r="A24" s="13">
        <v>10</v>
      </c>
      <c r="B24" s="31" t="s">
        <v>47</v>
      </c>
      <c r="C24" s="26"/>
      <c r="D24" s="14"/>
      <c r="E24" s="14"/>
    </row>
    <row r="25" spans="1:5" ht="30" customHeight="1" x14ac:dyDescent="0.25">
      <c r="A25" s="13">
        <v>5</v>
      </c>
      <c r="B25" s="31" t="s">
        <v>48</v>
      </c>
      <c r="C25" s="26"/>
      <c r="D25" s="14"/>
      <c r="E25" s="14"/>
    </row>
    <row r="26" spans="1:5" ht="30" customHeight="1" x14ac:dyDescent="0.25">
      <c r="A26" s="13">
        <v>0</v>
      </c>
      <c r="B26" s="31" t="s">
        <v>49</v>
      </c>
      <c r="C26" s="26"/>
      <c r="D26" s="14"/>
      <c r="E26" s="14"/>
    </row>
    <row r="27" spans="1:5" ht="21.95" customHeight="1" x14ac:dyDescent="0.25">
      <c r="A27" s="15" t="s">
        <v>32</v>
      </c>
      <c r="B27" s="16" t="s">
        <v>33</v>
      </c>
      <c r="C27" s="17" t="s">
        <v>50</v>
      </c>
      <c r="D27" s="18">
        <v>15</v>
      </c>
      <c r="E27" s="19"/>
    </row>
    <row r="28" spans="1:5" ht="14.1" customHeight="1" x14ac:dyDescent="0.25">
      <c r="A28" s="35" t="s">
        <v>35</v>
      </c>
      <c r="B28" s="26"/>
      <c r="C28" s="26"/>
      <c r="D28" s="26"/>
      <c r="E28" s="26"/>
    </row>
    <row r="29" spans="1:5" ht="18" customHeight="1" x14ac:dyDescent="0.25">
      <c r="A29" s="20" t="s">
        <v>36</v>
      </c>
      <c r="B29" s="30" t="s">
        <v>51</v>
      </c>
      <c r="C29" s="26"/>
      <c r="D29" s="36" t="s">
        <v>123</v>
      </c>
      <c r="E29" s="21"/>
    </row>
    <row r="30" spans="1:5" ht="18" customHeight="1" x14ac:dyDescent="0.25">
      <c r="A30" s="20" t="s">
        <v>36</v>
      </c>
      <c r="B30" s="30" t="s">
        <v>52</v>
      </c>
      <c r="C30" s="26"/>
      <c r="D30" s="36" t="s">
        <v>125</v>
      </c>
      <c r="E30" s="21"/>
    </row>
    <row r="31" spans="1:5" ht="18" customHeight="1" x14ac:dyDescent="0.25">
      <c r="A31" s="20" t="s">
        <v>36</v>
      </c>
      <c r="B31" s="30" t="s">
        <v>53</v>
      </c>
      <c r="C31" s="26"/>
      <c r="D31" s="36" t="s">
        <v>123</v>
      </c>
      <c r="E31" s="21"/>
    </row>
    <row r="32" spans="1:5" ht="18" customHeight="1" x14ac:dyDescent="0.25">
      <c r="A32" s="20" t="s">
        <v>36</v>
      </c>
      <c r="B32" s="30" t="s">
        <v>54</v>
      </c>
      <c r="C32" s="26"/>
      <c r="D32" s="36" t="s">
        <v>123</v>
      </c>
      <c r="E32" s="21"/>
    </row>
    <row r="33" spans="1:5" ht="18" customHeight="1" x14ac:dyDescent="0.25">
      <c r="A33" s="20" t="s">
        <v>36</v>
      </c>
      <c r="B33" s="30" t="s">
        <v>55</v>
      </c>
      <c r="C33" s="26"/>
      <c r="D33" s="36" t="s">
        <v>123</v>
      </c>
      <c r="E33" s="21"/>
    </row>
    <row r="34" spans="1:5" ht="6" customHeight="1" x14ac:dyDescent="0.25">
      <c r="A34" s="22"/>
      <c r="B34" s="22"/>
      <c r="C34" s="22"/>
      <c r="D34" s="22"/>
      <c r="E34" s="22"/>
    </row>
    <row r="35" spans="1:5" ht="20.100000000000001" customHeight="1" x14ac:dyDescent="0.25">
      <c r="A35" s="34" t="s">
        <v>56</v>
      </c>
      <c r="B35" s="26"/>
      <c r="C35" s="26"/>
      <c r="D35" s="11" t="s">
        <v>26</v>
      </c>
      <c r="E35" s="12"/>
    </row>
    <row r="36" spans="1:5" ht="14.1" customHeight="1" x14ac:dyDescent="0.25">
      <c r="A36" s="32" t="s">
        <v>27</v>
      </c>
      <c r="B36" s="26"/>
      <c r="C36" s="26"/>
      <c r="D36" s="26"/>
      <c r="E36" s="26"/>
    </row>
    <row r="37" spans="1:5" ht="30" customHeight="1" x14ac:dyDescent="0.25">
      <c r="A37" s="13">
        <v>15</v>
      </c>
      <c r="B37" s="31" t="s">
        <v>57</v>
      </c>
      <c r="C37" s="26"/>
      <c r="D37" s="14"/>
      <c r="E37" s="14"/>
    </row>
    <row r="38" spans="1:5" ht="30" customHeight="1" x14ac:dyDescent="0.25">
      <c r="A38" s="13">
        <v>10</v>
      </c>
      <c r="B38" s="31" t="s">
        <v>58</v>
      </c>
      <c r="C38" s="26"/>
      <c r="D38" s="14"/>
      <c r="E38" s="14"/>
    </row>
    <row r="39" spans="1:5" ht="30" customHeight="1" x14ac:dyDescent="0.25">
      <c r="A39" s="13">
        <v>5</v>
      </c>
      <c r="B39" s="31" t="s">
        <v>59</v>
      </c>
      <c r="C39" s="26"/>
      <c r="D39" s="14"/>
      <c r="E39" s="14"/>
    </row>
    <row r="40" spans="1:5" ht="30" customHeight="1" x14ac:dyDescent="0.25">
      <c r="A40" s="13">
        <v>0</v>
      </c>
      <c r="B40" s="31" t="s">
        <v>60</v>
      </c>
      <c r="C40" s="26"/>
      <c r="D40" s="14"/>
      <c r="E40" s="14"/>
    </row>
    <row r="41" spans="1:5" ht="21.95" customHeight="1" x14ac:dyDescent="0.25">
      <c r="A41" s="15" t="s">
        <v>32</v>
      </c>
      <c r="B41" s="16" t="s">
        <v>33</v>
      </c>
      <c r="C41" s="17" t="s">
        <v>34</v>
      </c>
      <c r="D41" s="18">
        <v>15</v>
      </c>
      <c r="E41" s="19"/>
    </row>
    <row r="42" spans="1:5" ht="14.1" customHeight="1" x14ac:dyDescent="0.25">
      <c r="A42" s="35" t="s">
        <v>35</v>
      </c>
      <c r="B42" s="26"/>
      <c r="C42" s="26"/>
      <c r="D42" s="26"/>
      <c r="E42" s="26"/>
    </row>
    <row r="43" spans="1:5" ht="18" customHeight="1" x14ac:dyDescent="0.25">
      <c r="A43" s="20" t="s">
        <v>36</v>
      </c>
      <c r="B43" s="30" t="s">
        <v>61</v>
      </c>
      <c r="C43" s="26"/>
      <c r="D43" s="36" t="s">
        <v>123</v>
      </c>
      <c r="E43" s="21"/>
    </row>
    <row r="44" spans="1:5" ht="18" customHeight="1" x14ac:dyDescent="0.25">
      <c r="A44" s="20" t="s">
        <v>36</v>
      </c>
      <c r="B44" s="30" t="s">
        <v>62</v>
      </c>
      <c r="C44" s="26"/>
      <c r="D44" s="36" t="s">
        <v>123</v>
      </c>
      <c r="E44" s="21"/>
    </row>
    <row r="45" spans="1:5" ht="18" customHeight="1" x14ac:dyDescent="0.25">
      <c r="A45" s="20" t="s">
        <v>36</v>
      </c>
      <c r="B45" s="30" t="s">
        <v>63</v>
      </c>
      <c r="C45" s="26"/>
      <c r="D45" s="36" t="s">
        <v>123</v>
      </c>
      <c r="E45" s="21"/>
    </row>
    <row r="46" spans="1:5" ht="18" customHeight="1" x14ac:dyDescent="0.25">
      <c r="A46" s="20" t="s">
        <v>36</v>
      </c>
      <c r="B46" s="30" t="s">
        <v>64</v>
      </c>
      <c r="C46" s="26"/>
      <c r="D46" s="36" t="s">
        <v>123</v>
      </c>
      <c r="E46" s="21"/>
    </row>
    <row r="47" spans="1:5" ht="18" customHeight="1" x14ac:dyDescent="0.25">
      <c r="A47" s="20" t="s">
        <v>36</v>
      </c>
      <c r="B47" s="30" t="s">
        <v>65</v>
      </c>
      <c r="C47" s="26"/>
      <c r="D47" s="36" t="s">
        <v>123</v>
      </c>
      <c r="E47" s="21"/>
    </row>
    <row r="48" spans="1:5" ht="18" customHeight="1" x14ac:dyDescent="0.25">
      <c r="A48" s="20" t="s">
        <v>36</v>
      </c>
      <c r="B48" s="30" t="s">
        <v>66</v>
      </c>
      <c r="C48" s="26"/>
      <c r="D48" s="36" t="s">
        <v>123</v>
      </c>
      <c r="E48" s="21"/>
    </row>
    <row r="49" spans="1:5" ht="6" customHeight="1" x14ac:dyDescent="0.25">
      <c r="A49" s="22"/>
      <c r="B49" s="22"/>
      <c r="C49" s="22"/>
      <c r="D49" s="22"/>
      <c r="E49" s="22"/>
    </row>
    <row r="50" spans="1:5" ht="20.100000000000001" customHeight="1" x14ac:dyDescent="0.25">
      <c r="A50" s="34" t="s">
        <v>67</v>
      </c>
      <c r="B50" s="26"/>
      <c r="C50" s="26"/>
      <c r="D50" s="11" t="s">
        <v>44</v>
      </c>
      <c r="E50" s="12"/>
    </row>
    <row r="51" spans="1:5" ht="14.1" customHeight="1" x14ac:dyDescent="0.25">
      <c r="A51" s="32" t="s">
        <v>27</v>
      </c>
      <c r="B51" s="26"/>
      <c r="C51" s="26"/>
      <c r="D51" s="26"/>
      <c r="E51" s="26"/>
    </row>
    <row r="52" spans="1:5" ht="30" customHeight="1" x14ac:dyDescent="0.25">
      <c r="A52" s="13">
        <v>20</v>
      </c>
      <c r="B52" s="31" t="s">
        <v>68</v>
      </c>
      <c r="C52" s="26"/>
      <c r="D52" s="14"/>
      <c r="E52" s="14"/>
    </row>
    <row r="53" spans="1:5" ht="30" customHeight="1" x14ac:dyDescent="0.25">
      <c r="A53" s="13">
        <v>15</v>
      </c>
      <c r="B53" s="31" t="s">
        <v>69</v>
      </c>
      <c r="C53" s="26"/>
      <c r="D53" s="14"/>
      <c r="E53" s="14"/>
    </row>
    <row r="54" spans="1:5" ht="30" customHeight="1" x14ac:dyDescent="0.25">
      <c r="A54" s="13">
        <v>10</v>
      </c>
      <c r="B54" s="31" t="s">
        <v>70</v>
      </c>
      <c r="C54" s="26"/>
      <c r="D54" s="14"/>
      <c r="E54" s="14"/>
    </row>
    <row r="55" spans="1:5" ht="30" customHeight="1" x14ac:dyDescent="0.25">
      <c r="A55" s="13">
        <v>5</v>
      </c>
      <c r="B55" s="31" t="s">
        <v>71</v>
      </c>
      <c r="C55" s="26"/>
      <c r="D55" s="14"/>
      <c r="E55" s="14"/>
    </row>
    <row r="56" spans="1:5" ht="30" customHeight="1" x14ac:dyDescent="0.25">
      <c r="A56" s="13">
        <v>0</v>
      </c>
      <c r="B56" s="31" t="s">
        <v>72</v>
      </c>
      <c r="C56" s="26"/>
      <c r="D56" s="14"/>
      <c r="E56" s="14"/>
    </row>
    <row r="57" spans="1:5" ht="21.95" customHeight="1" x14ac:dyDescent="0.25">
      <c r="A57" s="15" t="s">
        <v>32</v>
      </c>
      <c r="B57" s="16" t="s">
        <v>33</v>
      </c>
      <c r="C57" s="17" t="s">
        <v>50</v>
      </c>
      <c r="D57" s="18">
        <v>20</v>
      </c>
      <c r="E57" s="19"/>
    </row>
    <row r="58" spans="1:5" ht="14.1" customHeight="1" x14ac:dyDescent="0.25">
      <c r="A58" s="35" t="s">
        <v>35</v>
      </c>
      <c r="B58" s="26"/>
      <c r="C58" s="26"/>
      <c r="D58" s="26"/>
      <c r="E58" s="26"/>
    </row>
    <row r="59" spans="1:5" ht="18" customHeight="1" x14ac:dyDescent="0.25">
      <c r="A59" s="20" t="s">
        <v>36</v>
      </c>
      <c r="B59" s="30" t="s">
        <v>73</v>
      </c>
      <c r="C59" s="26"/>
      <c r="D59" s="36" t="s">
        <v>123</v>
      </c>
      <c r="E59" s="21"/>
    </row>
    <row r="60" spans="1:5" ht="18" customHeight="1" x14ac:dyDescent="0.25">
      <c r="A60" s="20" t="s">
        <v>36</v>
      </c>
      <c r="B60" s="30" t="s">
        <v>74</v>
      </c>
      <c r="C60" s="26"/>
      <c r="D60" s="36" t="s">
        <v>123</v>
      </c>
      <c r="E60" s="21"/>
    </row>
    <row r="61" spans="1:5" ht="18" customHeight="1" x14ac:dyDescent="0.25">
      <c r="A61" s="20" t="s">
        <v>36</v>
      </c>
      <c r="B61" s="30" t="s">
        <v>75</v>
      </c>
      <c r="C61" s="26"/>
      <c r="D61" s="36" t="s">
        <v>123</v>
      </c>
      <c r="E61" s="21"/>
    </row>
    <row r="62" spans="1:5" ht="18" customHeight="1" x14ac:dyDescent="0.25">
      <c r="A62" s="20" t="s">
        <v>36</v>
      </c>
      <c r="B62" s="30" t="s">
        <v>76</v>
      </c>
      <c r="C62" s="26"/>
      <c r="D62" s="36" t="s">
        <v>123</v>
      </c>
      <c r="E62" s="21"/>
    </row>
    <row r="63" spans="1:5" ht="18" customHeight="1" x14ac:dyDescent="0.25">
      <c r="A63" s="20" t="s">
        <v>36</v>
      </c>
      <c r="B63" s="30" t="s">
        <v>77</v>
      </c>
      <c r="C63" s="26"/>
      <c r="D63" s="36" t="s">
        <v>123</v>
      </c>
      <c r="E63" s="21"/>
    </row>
    <row r="64" spans="1:5" ht="18" customHeight="1" x14ac:dyDescent="0.25">
      <c r="A64" s="20" t="s">
        <v>36</v>
      </c>
      <c r="B64" s="30" t="s">
        <v>78</v>
      </c>
      <c r="C64" s="26"/>
      <c r="D64" s="36" t="s">
        <v>123</v>
      </c>
      <c r="E64" s="21"/>
    </row>
    <row r="65" spans="1:5" ht="6" customHeight="1" x14ac:dyDescent="0.25">
      <c r="A65" s="22"/>
      <c r="B65" s="22"/>
      <c r="C65" s="22"/>
      <c r="D65" s="22"/>
      <c r="E65" s="22"/>
    </row>
    <row r="66" spans="1:5" ht="20.100000000000001" customHeight="1" x14ac:dyDescent="0.25">
      <c r="A66" s="34" t="s">
        <v>79</v>
      </c>
      <c r="B66" s="26"/>
      <c r="C66" s="26"/>
      <c r="D66" s="11" t="s">
        <v>80</v>
      </c>
      <c r="E66" s="12"/>
    </row>
    <row r="67" spans="1:5" ht="14.1" customHeight="1" x14ac:dyDescent="0.25">
      <c r="A67" s="32" t="s">
        <v>27</v>
      </c>
      <c r="B67" s="26"/>
      <c r="C67" s="26"/>
      <c r="D67" s="26"/>
      <c r="E67" s="26"/>
    </row>
    <row r="68" spans="1:5" ht="30" customHeight="1" x14ac:dyDescent="0.25">
      <c r="A68" s="13">
        <v>10</v>
      </c>
      <c r="B68" s="31" t="s">
        <v>81</v>
      </c>
      <c r="C68" s="26"/>
      <c r="D68" s="14"/>
      <c r="E68" s="14"/>
    </row>
    <row r="69" spans="1:5" ht="30" customHeight="1" x14ac:dyDescent="0.25">
      <c r="A69" s="13">
        <v>6</v>
      </c>
      <c r="B69" s="31" t="s">
        <v>82</v>
      </c>
      <c r="C69" s="26"/>
      <c r="D69" s="14"/>
      <c r="E69" s="14"/>
    </row>
    <row r="70" spans="1:5" ht="30" customHeight="1" x14ac:dyDescent="0.25">
      <c r="A70" s="13">
        <v>3</v>
      </c>
      <c r="B70" s="31" t="s">
        <v>83</v>
      </c>
      <c r="C70" s="26"/>
      <c r="D70" s="14"/>
      <c r="E70" s="14"/>
    </row>
    <row r="71" spans="1:5" ht="30" customHeight="1" x14ac:dyDescent="0.25">
      <c r="A71" s="13">
        <v>0</v>
      </c>
      <c r="B71" s="31" t="s">
        <v>84</v>
      </c>
      <c r="C71" s="26"/>
      <c r="D71" s="14"/>
      <c r="E71" s="14"/>
    </row>
    <row r="72" spans="1:5" ht="21.95" customHeight="1" x14ac:dyDescent="0.25">
      <c r="A72" s="15" t="s">
        <v>32</v>
      </c>
      <c r="B72" s="16" t="s">
        <v>33</v>
      </c>
      <c r="C72" s="17" t="s">
        <v>85</v>
      </c>
      <c r="D72" s="18">
        <v>10</v>
      </c>
      <c r="E72" s="19"/>
    </row>
    <row r="73" spans="1:5" ht="14.1" customHeight="1" x14ac:dyDescent="0.25">
      <c r="A73" s="35" t="s">
        <v>35</v>
      </c>
      <c r="B73" s="26"/>
      <c r="C73" s="26"/>
      <c r="D73" s="26"/>
      <c r="E73" s="26"/>
    </row>
    <row r="74" spans="1:5" ht="18" customHeight="1" x14ac:dyDescent="0.25">
      <c r="A74" s="20" t="s">
        <v>36</v>
      </c>
      <c r="B74" s="30" t="s">
        <v>86</v>
      </c>
      <c r="C74" s="26"/>
      <c r="D74" s="36" t="s">
        <v>123</v>
      </c>
      <c r="E74" s="21"/>
    </row>
    <row r="75" spans="1:5" ht="18" customHeight="1" x14ac:dyDescent="0.25">
      <c r="A75" s="20" t="s">
        <v>36</v>
      </c>
      <c r="B75" s="30" t="s">
        <v>87</v>
      </c>
      <c r="C75" s="26"/>
      <c r="D75" s="36" t="s">
        <v>123</v>
      </c>
      <c r="E75" s="21"/>
    </row>
    <row r="76" spans="1:5" ht="18" customHeight="1" x14ac:dyDescent="0.25">
      <c r="A76" s="20" t="s">
        <v>36</v>
      </c>
      <c r="B76" s="30" t="s">
        <v>88</v>
      </c>
      <c r="C76" s="26"/>
      <c r="D76" s="36" t="s">
        <v>123</v>
      </c>
      <c r="E76" s="21"/>
    </row>
    <row r="77" spans="1:5" ht="18" customHeight="1" x14ac:dyDescent="0.25">
      <c r="A77" s="20" t="s">
        <v>36</v>
      </c>
      <c r="B77" s="30" t="s">
        <v>89</v>
      </c>
      <c r="C77" s="26"/>
      <c r="D77" s="36" t="s">
        <v>123</v>
      </c>
      <c r="E77" s="21"/>
    </row>
    <row r="78" spans="1:5" ht="6" customHeight="1" x14ac:dyDescent="0.25">
      <c r="A78" s="22"/>
      <c r="B78" s="22"/>
      <c r="C78" s="22"/>
      <c r="D78" s="22"/>
      <c r="E78" s="22"/>
    </row>
    <row r="79" spans="1:5" ht="20.100000000000001" customHeight="1" x14ac:dyDescent="0.25">
      <c r="A79" s="34" t="s">
        <v>90</v>
      </c>
      <c r="B79" s="26"/>
      <c r="C79" s="26"/>
      <c r="D79" s="11" t="s">
        <v>80</v>
      </c>
      <c r="E79" s="12"/>
    </row>
    <row r="80" spans="1:5" ht="14.1" customHeight="1" x14ac:dyDescent="0.25">
      <c r="A80" s="32" t="s">
        <v>27</v>
      </c>
      <c r="B80" s="26"/>
      <c r="C80" s="26"/>
      <c r="D80" s="26"/>
      <c r="E80" s="26"/>
    </row>
    <row r="81" spans="1:5" ht="30" customHeight="1" x14ac:dyDescent="0.25">
      <c r="A81" s="13">
        <v>10</v>
      </c>
      <c r="B81" s="31" t="s">
        <v>91</v>
      </c>
      <c r="C81" s="26"/>
      <c r="D81" s="14"/>
      <c r="E81" s="14"/>
    </row>
    <row r="82" spans="1:5" ht="30" customHeight="1" x14ac:dyDescent="0.25">
      <c r="A82" s="13">
        <v>7</v>
      </c>
      <c r="B82" s="31" t="s">
        <v>92</v>
      </c>
      <c r="C82" s="26"/>
      <c r="D82" s="14"/>
      <c r="E82" s="14"/>
    </row>
    <row r="83" spans="1:5" ht="30" customHeight="1" x14ac:dyDescent="0.25">
      <c r="A83" s="13">
        <v>4</v>
      </c>
      <c r="B83" s="31" t="s">
        <v>93</v>
      </c>
      <c r="C83" s="26"/>
      <c r="D83" s="14"/>
      <c r="E83" s="14"/>
    </row>
    <row r="84" spans="1:5" ht="30" customHeight="1" x14ac:dyDescent="0.25">
      <c r="A84" s="13">
        <v>0</v>
      </c>
      <c r="B84" s="31" t="s">
        <v>94</v>
      </c>
      <c r="C84" s="26"/>
      <c r="D84" s="14"/>
      <c r="E84" s="14"/>
    </row>
    <row r="85" spans="1:5" ht="21.95" customHeight="1" x14ac:dyDescent="0.25">
      <c r="A85" s="15" t="s">
        <v>32</v>
      </c>
      <c r="B85" s="16" t="s">
        <v>33</v>
      </c>
      <c r="C85" s="17" t="s">
        <v>85</v>
      </c>
      <c r="D85" s="18">
        <v>7</v>
      </c>
      <c r="E85" s="19"/>
    </row>
    <row r="86" spans="1:5" ht="14.1" customHeight="1" x14ac:dyDescent="0.25">
      <c r="A86" s="35" t="s">
        <v>35</v>
      </c>
      <c r="B86" s="26"/>
      <c r="C86" s="26"/>
      <c r="D86" s="26"/>
      <c r="E86" s="26"/>
    </row>
    <row r="87" spans="1:5" ht="18" customHeight="1" x14ac:dyDescent="0.25">
      <c r="A87" s="20" t="s">
        <v>36</v>
      </c>
      <c r="B87" s="30" t="s">
        <v>95</v>
      </c>
      <c r="C87" s="26"/>
      <c r="D87" s="36" t="s">
        <v>123</v>
      </c>
      <c r="E87" s="21"/>
    </row>
    <row r="88" spans="1:5" ht="18" customHeight="1" x14ac:dyDescent="0.25">
      <c r="A88" s="20" t="s">
        <v>36</v>
      </c>
      <c r="B88" s="30" t="s">
        <v>96</v>
      </c>
      <c r="C88" s="26"/>
      <c r="D88" s="36" t="s">
        <v>123</v>
      </c>
      <c r="E88" s="21"/>
    </row>
    <row r="89" spans="1:5" ht="18" customHeight="1" x14ac:dyDescent="0.25">
      <c r="A89" s="20" t="s">
        <v>36</v>
      </c>
      <c r="B89" s="30" t="s">
        <v>97</v>
      </c>
      <c r="C89" s="26"/>
      <c r="D89" s="36" t="s">
        <v>123</v>
      </c>
      <c r="E89" s="21"/>
    </row>
    <row r="90" spans="1:5" ht="18" customHeight="1" x14ac:dyDescent="0.25">
      <c r="A90" s="20" t="s">
        <v>36</v>
      </c>
      <c r="B90" s="30" t="s">
        <v>98</v>
      </c>
      <c r="C90" s="26"/>
      <c r="D90" s="36" t="s">
        <v>123</v>
      </c>
      <c r="E90" s="21"/>
    </row>
    <row r="91" spans="1:5" ht="18" customHeight="1" x14ac:dyDescent="0.25">
      <c r="A91" s="20" t="s">
        <v>36</v>
      </c>
      <c r="B91" s="30" t="s">
        <v>99</v>
      </c>
      <c r="C91" s="26"/>
      <c r="D91" s="36" t="s">
        <v>125</v>
      </c>
      <c r="E91" s="21" t="s">
        <v>127</v>
      </c>
    </row>
    <row r="92" spans="1:5" ht="18" customHeight="1" x14ac:dyDescent="0.25">
      <c r="A92" s="20" t="s">
        <v>36</v>
      </c>
      <c r="B92" s="30" t="s">
        <v>100</v>
      </c>
      <c r="C92" s="26"/>
      <c r="D92" s="36" t="s">
        <v>123</v>
      </c>
      <c r="E92" s="21"/>
    </row>
    <row r="93" spans="1:5" ht="6" customHeight="1" x14ac:dyDescent="0.25">
      <c r="A93" s="22"/>
      <c r="B93" s="22"/>
      <c r="C93" s="22"/>
      <c r="D93" s="22"/>
      <c r="E93" s="22"/>
    </row>
    <row r="94" spans="1:5" ht="20.100000000000001" customHeight="1" x14ac:dyDescent="0.25">
      <c r="A94" s="34" t="s">
        <v>101</v>
      </c>
      <c r="B94" s="26"/>
      <c r="C94" s="26"/>
      <c r="D94" s="11" t="s">
        <v>102</v>
      </c>
      <c r="E94" s="12"/>
    </row>
    <row r="95" spans="1:5" ht="14.1" customHeight="1" x14ac:dyDescent="0.25">
      <c r="A95" s="32" t="s">
        <v>27</v>
      </c>
      <c r="B95" s="26"/>
      <c r="C95" s="26"/>
      <c r="D95" s="26"/>
      <c r="E95" s="26"/>
    </row>
    <row r="96" spans="1:5" ht="30" customHeight="1" x14ac:dyDescent="0.25">
      <c r="A96" s="13">
        <v>5</v>
      </c>
      <c r="B96" s="31" t="s">
        <v>103</v>
      </c>
      <c r="C96" s="26"/>
      <c r="D96" s="14"/>
      <c r="E96" s="14"/>
    </row>
    <row r="97" spans="1:5" ht="30" customHeight="1" x14ac:dyDescent="0.25">
      <c r="A97" s="13">
        <v>3</v>
      </c>
      <c r="B97" s="31" t="s">
        <v>104</v>
      </c>
      <c r="C97" s="26"/>
      <c r="D97" s="14"/>
      <c r="E97" s="14"/>
    </row>
    <row r="98" spans="1:5" ht="30" customHeight="1" x14ac:dyDescent="0.25">
      <c r="A98" s="13">
        <v>1</v>
      </c>
      <c r="B98" s="31" t="s">
        <v>105</v>
      </c>
      <c r="C98" s="26"/>
      <c r="D98" s="14"/>
      <c r="E98" s="14"/>
    </row>
    <row r="99" spans="1:5" ht="30" customHeight="1" x14ac:dyDescent="0.25">
      <c r="A99" s="13">
        <v>0</v>
      </c>
      <c r="B99" s="31" t="s">
        <v>106</v>
      </c>
      <c r="C99" s="26"/>
      <c r="D99" s="14"/>
      <c r="E99" s="14"/>
    </row>
    <row r="100" spans="1:5" ht="21.95" customHeight="1" x14ac:dyDescent="0.25">
      <c r="A100" s="15" t="s">
        <v>32</v>
      </c>
      <c r="B100" s="16" t="s">
        <v>33</v>
      </c>
      <c r="C100" s="17" t="s">
        <v>107</v>
      </c>
      <c r="D100" s="18">
        <v>5</v>
      </c>
      <c r="E100" s="19"/>
    </row>
    <row r="101" spans="1:5" ht="14.1" customHeight="1" x14ac:dyDescent="0.25">
      <c r="A101" s="35" t="s">
        <v>35</v>
      </c>
      <c r="B101" s="26"/>
      <c r="C101" s="26"/>
      <c r="D101" s="26"/>
      <c r="E101" s="26"/>
    </row>
    <row r="102" spans="1:5" ht="18" customHeight="1" x14ac:dyDescent="0.25">
      <c r="A102" s="20" t="s">
        <v>36</v>
      </c>
      <c r="B102" s="30" t="s">
        <v>108</v>
      </c>
      <c r="C102" s="26"/>
      <c r="D102" s="36" t="s">
        <v>123</v>
      </c>
      <c r="E102" s="21"/>
    </row>
    <row r="103" spans="1:5" ht="18" customHeight="1" x14ac:dyDescent="0.25">
      <c r="A103" s="20" t="s">
        <v>36</v>
      </c>
      <c r="B103" s="30" t="s">
        <v>109</v>
      </c>
      <c r="C103" s="26"/>
      <c r="D103" s="36" t="s">
        <v>123</v>
      </c>
      <c r="E103" s="21"/>
    </row>
    <row r="104" spans="1:5" ht="18" customHeight="1" x14ac:dyDescent="0.25">
      <c r="A104" s="20" t="s">
        <v>36</v>
      </c>
      <c r="B104" s="30" t="s">
        <v>110</v>
      </c>
      <c r="C104" s="26"/>
      <c r="D104" s="36" t="s">
        <v>123</v>
      </c>
      <c r="E104" s="21"/>
    </row>
    <row r="105" spans="1:5" ht="18" customHeight="1" x14ac:dyDescent="0.25">
      <c r="A105" s="20" t="s">
        <v>36</v>
      </c>
      <c r="B105" s="30" t="s">
        <v>111</v>
      </c>
      <c r="C105" s="26"/>
      <c r="D105" s="36" t="s">
        <v>123</v>
      </c>
      <c r="E105" s="21"/>
    </row>
    <row r="106" spans="1:5" ht="18" customHeight="1" x14ac:dyDescent="0.25">
      <c r="A106" s="20" t="s">
        <v>36</v>
      </c>
      <c r="B106" s="30" t="s">
        <v>112</v>
      </c>
      <c r="C106" s="26"/>
      <c r="D106" s="36" t="s">
        <v>123</v>
      </c>
      <c r="E106" s="21"/>
    </row>
    <row r="107" spans="1:5" ht="6" customHeight="1" x14ac:dyDescent="0.25">
      <c r="A107" s="22"/>
      <c r="B107" s="22"/>
      <c r="C107" s="22"/>
      <c r="D107" s="22"/>
      <c r="E107" s="22"/>
    </row>
    <row r="108" spans="1:5" ht="20.100000000000001" customHeight="1" x14ac:dyDescent="0.25">
      <c r="A108" s="34" t="s">
        <v>113</v>
      </c>
      <c r="B108" s="26"/>
      <c r="C108" s="26"/>
      <c r="D108" s="11" t="s">
        <v>102</v>
      </c>
      <c r="E108" s="12"/>
    </row>
    <row r="109" spans="1:5" ht="14.1" customHeight="1" x14ac:dyDescent="0.25">
      <c r="A109" s="32" t="s">
        <v>27</v>
      </c>
      <c r="B109" s="26"/>
      <c r="C109" s="26"/>
      <c r="D109" s="26"/>
      <c r="E109" s="26"/>
    </row>
    <row r="110" spans="1:5" ht="30" customHeight="1" x14ac:dyDescent="0.25">
      <c r="A110" s="13">
        <v>5</v>
      </c>
      <c r="B110" s="31" t="s">
        <v>114</v>
      </c>
      <c r="C110" s="26"/>
      <c r="D110" s="14"/>
      <c r="E110" s="14"/>
    </row>
    <row r="111" spans="1:5" ht="30" customHeight="1" x14ac:dyDescent="0.25">
      <c r="A111" s="13">
        <v>3</v>
      </c>
      <c r="B111" s="31" t="s">
        <v>115</v>
      </c>
      <c r="C111" s="26"/>
      <c r="D111" s="14"/>
      <c r="E111" s="14"/>
    </row>
    <row r="112" spans="1:5" ht="30" customHeight="1" x14ac:dyDescent="0.25">
      <c r="A112" s="13">
        <v>0</v>
      </c>
      <c r="B112" s="31" t="s">
        <v>116</v>
      </c>
      <c r="C112" s="26"/>
      <c r="D112" s="14"/>
      <c r="E112" s="14"/>
    </row>
    <row r="113" spans="1:5" ht="21.95" customHeight="1" x14ac:dyDescent="0.25">
      <c r="A113" s="15" t="s">
        <v>32</v>
      </c>
      <c r="B113" s="16" t="s">
        <v>33</v>
      </c>
      <c r="C113" s="17" t="s">
        <v>107</v>
      </c>
      <c r="D113" s="18">
        <v>5</v>
      </c>
      <c r="E113" s="19"/>
    </row>
    <row r="114" spans="1:5" ht="14.1" customHeight="1" x14ac:dyDescent="0.25">
      <c r="A114" s="35" t="s">
        <v>35</v>
      </c>
      <c r="B114" s="26"/>
      <c r="C114" s="26"/>
      <c r="D114" s="26"/>
      <c r="E114" s="26"/>
    </row>
    <row r="115" spans="1:5" ht="18" customHeight="1" x14ac:dyDescent="0.25">
      <c r="A115" s="20" t="s">
        <v>36</v>
      </c>
      <c r="B115" s="30" t="s">
        <v>117</v>
      </c>
      <c r="C115" s="26"/>
      <c r="D115" s="36" t="s">
        <v>123</v>
      </c>
      <c r="E115" s="21"/>
    </row>
    <row r="116" spans="1:5" ht="18" customHeight="1" x14ac:dyDescent="0.25">
      <c r="A116" s="20" t="s">
        <v>36</v>
      </c>
      <c r="B116" s="30" t="s">
        <v>118</v>
      </c>
      <c r="C116" s="26"/>
      <c r="D116" s="36" t="s">
        <v>123</v>
      </c>
      <c r="E116" s="21"/>
    </row>
    <row r="117" spans="1:5" ht="18" customHeight="1" x14ac:dyDescent="0.25">
      <c r="A117" s="20" t="s">
        <v>36</v>
      </c>
      <c r="B117" s="30" t="s">
        <v>119</v>
      </c>
      <c r="C117" s="26"/>
      <c r="D117" s="36" t="s">
        <v>123</v>
      </c>
      <c r="E117" s="21"/>
    </row>
    <row r="118" spans="1:5" ht="6" customHeight="1" x14ac:dyDescent="0.25">
      <c r="A118" s="22"/>
      <c r="B118" s="22"/>
      <c r="C118" s="22"/>
      <c r="D118" s="22"/>
      <c r="E118" s="22"/>
    </row>
    <row r="119" spans="1:5" ht="27.95" customHeight="1" x14ac:dyDescent="0.25">
      <c r="A119" s="33" t="s">
        <v>15</v>
      </c>
      <c r="B119" s="26"/>
      <c r="C119" s="26"/>
      <c r="D119" s="23">
        <f>IFERROR(SUM(D11,D27,D41,D57,D72,D85,D100,D113),"")</f>
        <v>87</v>
      </c>
      <c r="E119" s="24" t="s">
        <v>120</v>
      </c>
    </row>
  </sheetData>
  <mergeCells count="101">
    <mergeCell ref="A114:E114"/>
    <mergeCell ref="B47:C47"/>
    <mergeCell ref="B62:C62"/>
    <mergeCell ref="B59:C59"/>
    <mergeCell ref="B46:C46"/>
    <mergeCell ref="A51:E51"/>
    <mergeCell ref="B39:C39"/>
    <mergeCell ref="B70:C70"/>
    <mergeCell ref="B48:C48"/>
    <mergeCell ref="B111:C111"/>
    <mergeCell ref="B87:C87"/>
    <mergeCell ref="A101:E101"/>
    <mergeCell ref="B74:C74"/>
    <mergeCell ref="A109:E109"/>
    <mergeCell ref="B68:C68"/>
    <mergeCell ref="A94:C94"/>
    <mergeCell ref="B110:C110"/>
    <mergeCell ref="A2:E2"/>
    <mergeCell ref="A86:E86"/>
    <mergeCell ref="A42:E42"/>
    <mergeCell ref="B99:C99"/>
    <mergeCell ref="B9:C9"/>
    <mergeCell ref="B83:C83"/>
    <mergeCell ref="B92:C92"/>
    <mergeCell ref="B30:C30"/>
    <mergeCell ref="A79:C79"/>
    <mergeCell ref="A28:E28"/>
    <mergeCell ref="B76:C76"/>
    <mergeCell ref="B45:C45"/>
    <mergeCell ref="B75:C75"/>
    <mergeCell ref="B23:C23"/>
    <mergeCell ref="A35:C35"/>
    <mergeCell ref="B8:C8"/>
    <mergeCell ref="B10:C10"/>
    <mergeCell ref="B54:C54"/>
    <mergeCell ref="A108:C108"/>
    <mergeCell ref="B7:C7"/>
    <mergeCell ref="A73:E73"/>
    <mergeCell ref="B81:C81"/>
    <mergeCell ref="A50:C50"/>
    <mergeCell ref="B56:C56"/>
    <mergeCell ref="B71:C71"/>
    <mergeCell ref="B96:C96"/>
    <mergeCell ref="B105:C105"/>
    <mergeCell ref="B43:C43"/>
    <mergeCell ref="B52:C52"/>
    <mergeCell ref="B98:C98"/>
    <mergeCell ref="B60:C60"/>
    <mergeCell ref="B17:C17"/>
    <mergeCell ref="B88:C88"/>
    <mergeCell ref="A20:C20"/>
    <mergeCell ref="B82:C82"/>
    <mergeCell ref="B44:C44"/>
    <mergeCell ref="A119:C119"/>
    <mergeCell ref="B32:C32"/>
    <mergeCell ref="B63:C63"/>
    <mergeCell ref="B26:C26"/>
    <mergeCell ref="B106:C106"/>
    <mergeCell ref="B16:C16"/>
    <mergeCell ref="A66:C66"/>
    <mergeCell ref="B25:C25"/>
    <mergeCell ref="B90:C90"/>
    <mergeCell ref="A36:E36"/>
    <mergeCell ref="B18:C18"/>
    <mergeCell ref="B117:C117"/>
    <mergeCell ref="A80:E80"/>
    <mergeCell ref="B53:C53"/>
    <mergeCell ref="B116:C116"/>
    <mergeCell ref="B29:C29"/>
    <mergeCell ref="A95:E95"/>
    <mergeCell ref="B103:C103"/>
    <mergeCell ref="B37:C37"/>
    <mergeCell ref="B84:C84"/>
    <mergeCell ref="B89:C89"/>
    <mergeCell ref="A58:E58"/>
    <mergeCell ref="A67:E67"/>
    <mergeCell ref="B97:C97"/>
    <mergeCell ref="B91:C91"/>
    <mergeCell ref="B22:C22"/>
    <mergeCell ref="A1:E1"/>
    <mergeCell ref="B115:C115"/>
    <mergeCell ref="B31:C31"/>
    <mergeCell ref="B102:C102"/>
    <mergeCell ref="B77:C77"/>
    <mergeCell ref="B61:C61"/>
    <mergeCell ref="B14:C14"/>
    <mergeCell ref="B13:C13"/>
    <mergeCell ref="A21:E21"/>
    <mergeCell ref="B69:C69"/>
    <mergeCell ref="B38:C38"/>
    <mergeCell ref="B112:C112"/>
    <mergeCell ref="B40:C40"/>
    <mergeCell ref="B55:C55"/>
    <mergeCell ref="B24:C24"/>
    <mergeCell ref="B64:C64"/>
    <mergeCell ref="B33:C33"/>
    <mergeCell ref="B104:C104"/>
    <mergeCell ref="A6:E6"/>
    <mergeCell ref="A5:C5"/>
    <mergeCell ref="A12:E12"/>
    <mergeCell ref="B15:C15"/>
  </mergeCells>
  <dataValidations count="6">
    <dataValidation type="list" allowBlank="1" errorTitle="Valor inválido" error="Use os valores da rubrica: [15, 10, 5, 0]" sqref="D11 D41" xr:uid="{00000000-0002-0000-0200-000000000000}">
      <formula1>"15,10,5,0"</formula1>
    </dataValidation>
    <dataValidation type="list" allowBlank="1" errorTitle="Valor inválido" error="Use os valores da rubrica: [20, 15, 10, 5, 0]" sqref="D27 D57" xr:uid="{00000000-0002-0000-0200-000001000000}">
      <formula1>"20,15,10,5,0"</formula1>
    </dataValidation>
    <dataValidation type="list" allowBlank="1" errorTitle="Valor inválido" error="Use os valores da rubrica: [10, 6, 3, 0]" sqref="D72" xr:uid="{00000000-0002-0000-0200-000004000000}">
      <formula1>"10,6,3,0"</formula1>
    </dataValidation>
    <dataValidation type="list" allowBlank="1" errorTitle="Valor inválido" error="Use os valores da rubrica: [10, 7, 4, 0]" sqref="D85" xr:uid="{00000000-0002-0000-0200-000005000000}">
      <formula1>"10,7,4,0"</formula1>
    </dataValidation>
    <dataValidation type="list" allowBlank="1" errorTitle="Valor inválido" error="Use os valores da rubrica: [5, 3, 1, 0]" sqref="D100" xr:uid="{00000000-0002-0000-0200-000006000000}">
      <formula1>"5,3,1,0"</formula1>
    </dataValidation>
    <dataValidation type="list" allowBlank="1" errorTitle="Valor inválido" error="Use os valores da rubrica: [5, 3, 0]" sqref="D113" xr:uid="{00000000-0002-0000-0200-000007000000}">
      <formula1>"5,3,0"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9"/>
  <sheetViews>
    <sheetView workbookViewId="0">
      <pane ySplit="4" topLeftCell="A102" activePane="bottomLeft" state="frozen"/>
      <selection pane="bottomLeft" activeCell="D92" sqref="D92"/>
    </sheetView>
  </sheetViews>
  <sheetFormatPr defaultRowHeight="15" x14ac:dyDescent="0.25"/>
  <cols>
    <col min="1" max="1" width="4" customWidth="1"/>
    <col min="2" max="2" width="48" customWidth="1"/>
    <col min="3" max="3" width="12" customWidth="1"/>
    <col min="4" max="4" width="14" customWidth="1"/>
    <col min="5" max="5" width="48" customWidth="1"/>
  </cols>
  <sheetData>
    <row r="1" spans="1:5" ht="27.95" customHeight="1" x14ac:dyDescent="0.25">
      <c r="A1" s="28" t="s">
        <v>122</v>
      </c>
      <c r="B1" s="26"/>
      <c r="C1" s="26"/>
      <c r="D1" s="26"/>
      <c r="E1" s="26"/>
    </row>
    <row r="2" spans="1:5" ht="15.95" customHeight="1" x14ac:dyDescent="0.25">
      <c r="A2" s="25" t="s">
        <v>18</v>
      </c>
      <c r="B2" s="26"/>
      <c r="C2" s="26"/>
      <c r="D2" s="26"/>
      <c r="E2" s="26"/>
    </row>
    <row r="3" spans="1:5" x14ac:dyDescent="0.25">
      <c r="D3" s="8" t="s">
        <v>19</v>
      </c>
      <c r="E3" s="9"/>
    </row>
    <row r="4" spans="1:5" ht="21.95" customHeight="1" x14ac:dyDescent="0.25">
      <c r="A4" s="10" t="s">
        <v>20</v>
      </c>
      <c r="B4" s="10" t="s">
        <v>21</v>
      </c>
      <c r="C4" s="10" t="s">
        <v>22</v>
      </c>
      <c r="D4" s="10" t="s">
        <v>23</v>
      </c>
      <c r="E4" s="10" t="s">
        <v>24</v>
      </c>
    </row>
    <row r="5" spans="1:5" ht="20.100000000000001" customHeight="1" x14ac:dyDescent="0.25">
      <c r="A5" s="34" t="s">
        <v>25</v>
      </c>
      <c r="B5" s="26"/>
      <c r="C5" s="26"/>
      <c r="D5" s="11" t="s">
        <v>26</v>
      </c>
      <c r="E5" s="12"/>
    </row>
    <row r="6" spans="1:5" ht="14.1" customHeight="1" x14ac:dyDescent="0.25">
      <c r="A6" s="32" t="s">
        <v>27</v>
      </c>
      <c r="B6" s="26"/>
      <c r="C6" s="26"/>
      <c r="D6" s="26"/>
      <c r="E6" s="26"/>
    </row>
    <row r="7" spans="1:5" ht="30" customHeight="1" x14ac:dyDescent="0.25">
      <c r="A7" s="13">
        <v>15</v>
      </c>
      <c r="B7" s="31" t="s">
        <v>28</v>
      </c>
      <c r="C7" s="26"/>
      <c r="D7" s="14"/>
      <c r="E7" s="14"/>
    </row>
    <row r="8" spans="1:5" ht="30" customHeight="1" x14ac:dyDescent="0.25">
      <c r="A8" s="13">
        <v>10</v>
      </c>
      <c r="B8" s="31" t="s">
        <v>29</v>
      </c>
      <c r="C8" s="26"/>
      <c r="D8" s="14"/>
      <c r="E8" s="14" t="s">
        <v>126</v>
      </c>
    </row>
    <row r="9" spans="1:5" ht="30" customHeight="1" x14ac:dyDescent="0.25">
      <c r="A9" s="13">
        <v>5</v>
      </c>
      <c r="B9" s="31" t="s">
        <v>30</v>
      </c>
      <c r="C9" s="26"/>
      <c r="D9" s="14"/>
      <c r="E9" s="14"/>
    </row>
    <row r="10" spans="1:5" ht="30" customHeight="1" x14ac:dyDescent="0.25">
      <c r="A10" s="13">
        <v>0</v>
      </c>
      <c r="B10" s="31" t="s">
        <v>31</v>
      </c>
      <c r="C10" s="26"/>
      <c r="D10" s="14"/>
      <c r="E10" s="14"/>
    </row>
    <row r="11" spans="1:5" ht="21.95" customHeight="1" x14ac:dyDescent="0.25">
      <c r="A11" s="15" t="s">
        <v>32</v>
      </c>
      <c r="B11" s="16" t="s">
        <v>33</v>
      </c>
      <c r="C11" s="17" t="s">
        <v>34</v>
      </c>
      <c r="D11" s="18">
        <v>10</v>
      </c>
      <c r="E11" s="19"/>
    </row>
    <row r="12" spans="1:5" ht="14.1" customHeight="1" x14ac:dyDescent="0.25">
      <c r="A12" s="35" t="s">
        <v>35</v>
      </c>
      <c r="B12" s="26"/>
      <c r="C12" s="26"/>
      <c r="D12" s="26"/>
      <c r="E12" s="26"/>
    </row>
    <row r="13" spans="1:5" ht="18" customHeight="1" x14ac:dyDescent="0.25">
      <c r="A13" s="20" t="s">
        <v>36</v>
      </c>
      <c r="B13" s="30" t="s">
        <v>37</v>
      </c>
      <c r="C13" s="26"/>
      <c r="D13" s="36" t="s">
        <v>123</v>
      </c>
      <c r="E13" s="21"/>
    </row>
    <row r="14" spans="1:5" ht="18" customHeight="1" x14ac:dyDescent="0.25">
      <c r="A14" s="20" t="s">
        <v>36</v>
      </c>
      <c r="B14" s="30" t="s">
        <v>38</v>
      </c>
      <c r="C14" s="26"/>
      <c r="D14" s="36" t="s">
        <v>123</v>
      </c>
      <c r="E14" s="21"/>
    </row>
    <row r="15" spans="1:5" ht="18" customHeight="1" x14ac:dyDescent="0.25">
      <c r="A15" s="20" t="s">
        <v>36</v>
      </c>
      <c r="B15" s="30" t="s">
        <v>39</v>
      </c>
      <c r="C15" s="26"/>
      <c r="D15" s="36" t="s">
        <v>123</v>
      </c>
      <c r="E15" s="21"/>
    </row>
    <row r="16" spans="1:5" ht="18" customHeight="1" x14ac:dyDescent="0.25">
      <c r="A16" s="20" t="s">
        <v>36</v>
      </c>
      <c r="B16" s="30" t="s">
        <v>40</v>
      </c>
      <c r="C16" s="26"/>
      <c r="D16" s="36" t="s">
        <v>123</v>
      </c>
      <c r="E16" s="21"/>
    </row>
    <row r="17" spans="1:5" ht="18" customHeight="1" x14ac:dyDescent="0.25">
      <c r="A17" s="20" t="s">
        <v>36</v>
      </c>
      <c r="B17" s="30" t="s">
        <v>41</v>
      </c>
      <c r="C17" s="26"/>
      <c r="D17" s="36" t="s">
        <v>123</v>
      </c>
      <c r="E17" s="21"/>
    </row>
    <row r="18" spans="1:5" ht="18" customHeight="1" x14ac:dyDescent="0.25">
      <c r="A18" s="20" t="s">
        <v>36</v>
      </c>
      <c r="B18" s="30" t="s">
        <v>42</v>
      </c>
      <c r="C18" s="26"/>
      <c r="D18" s="36" t="s">
        <v>125</v>
      </c>
      <c r="E18" s="21"/>
    </row>
    <row r="19" spans="1:5" ht="6" customHeight="1" x14ac:dyDescent="0.25">
      <c r="A19" s="22"/>
      <c r="B19" s="22"/>
      <c r="C19" s="22"/>
      <c r="D19" s="22"/>
      <c r="E19" s="22"/>
    </row>
    <row r="20" spans="1:5" ht="20.100000000000001" customHeight="1" x14ac:dyDescent="0.25">
      <c r="A20" s="34" t="s">
        <v>43</v>
      </c>
      <c r="B20" s="26"/>
      <c r="C20" s="26"/>
      <c r="D20" s="11" t="s">
        <v>44</v>
      </c>
      <c r="E20" s="12"/>
    </row>
    <row r="21" spans="1:5" ht="14.1" customHeight="1" x14ac:dyDescent="0.25">
      <c r="A21" s="32" t="s">
        <v>27</v>
      </c>
      <c r="B21" s="26"/>
      <c r="C21" s="26"/>
      <c r="D21" s="26"/>
      <c r="E21" s="26"/>
    </row>
    <row r="22" spans="1:5" ht="30" customHeight="1" x14ac:dyDescent="0.25">
      <c r="A22" s="13">
        <v>20</v>
      </c>
      <c r="B22" s="31" t="s">
        <v>45</v>
      </c>
      <c r="C22" s="26"/>
      <c r="D22" s="14"/>
      <c r="E22" s="14"/>
    </row>
    <row r="23" spans="1:5" ht="30" customHeight="1" x14ac:dyDescent="0.25">
      <c r="A23" s="13">
        <v>15</v>
      </c>
      <c r="B23" s="31" t="s">
        <v>46</v>
      </c>
      <c r="C23" s="26"/>
      <c r="D23" s="14"/>
      <c r="E23" s="14" t="s">
        <v>128</v>
      </c>
    </row>
    <row r="24" spans="1:5" ht="30" customHeight="1" x14ac:dyDescent="0.25">
      <c r="A24" s="13">
        <v>10</v>
      </c>
      <c r="B24" s="31" t="s">
        <v>47</v>
      </c>
      <c r="C24" s="26"/>
      <c r="D24" s="14"/>
      <c r="E24" s="14"/>
    </row>
    <row r="25" spans="1:5" ht="30" customHeight="1" x14ac:dyDescent="0.25">
      <c r="A25" s="13">
        <v>5</v>
      </c>
      <c r="B25" s="31" t="s">
        <v>48</v>
      </c>
      <c r="C25" s="26"/>
      <c r="D25" s="14"/>
      <c r="E25" s="14"/>
    </row>
    <row r="26" spans="1:5" ht="30" customHeight="1" x14ac:dyDescent="0.25">
      <c r="A26" s="13">
        <v>0</v>
      </c>
      <c r="B26" s="31" t="s">
        <v>49</v>
      </c>
      <c r="C26" s="26"/>
      <c r="D26" s="14"/>
      <c r="E26" s="14"/>
    </row>
    <row r="27" spans="1:5" ht="21.95" customHeight="1" x14ac:dyDescent="0.25">
      <c r="A27" s="15" t="s">
        <v>32</v>
      </c>
      <c r="B27" s="16" t="s">
        <v>33</v>
      </c>
      <c r="C27" s="17" t="s">
        <v>50</v>
      </c>
      <c r="D27" s="18">
        <v>15</v>
      </c>
      <c r="E27" s="19"/>
    </row>
    <row r="28" spans="1:5" ht="14.1" customHeight="1" x14ac:dyDescent="0.25">
      <c r="A28" s="35" t="s">
        <v>35</v>
      </c>
      <c r="B28" s="26"/>
      <c r="C28" s="26"/>
      <c r="D28" s="26"/>
      <c r="E28" s="26"/>
    </row>
    <row r="29" spans="1:5" ht="18" customHeight="1" x14ac:dyDescent="0.25">
      <c r="A29" s="20" t="s">
        <v>36</v>
      </c>
      <c r="B29" s="30" t="s">
        <v>51</v>
      </c>
      <c r="C29" s="26"/>
      <c r="D29" s="36" t="s">
        <v>123</v>
      </c>
      <c r="E29" s="21"/>
    </row>
    <row r="30" spans="1:5" ht="18" customHeight="1" x14ac:dyDescent="0.25">
      <c r="A30" s="20" t="s">
        <v>36</v>
      </c>
      <c r="B30" s="30" t="s">
        <v>52</v>
      </c>
      <c r="C30" s="26"/>
      <c r="D30" s="36" t="s">
        <v>125</v>
      </c>
      <c r="E30" s="21" t="s">
        <v>128</v>
      </c>
    </row>
    <row r="31" spans="1:5" ht="18" customHeight="1" x14ac:dyDescent="0.25">
      <c r="A31" s="20" t="s">
        <v>36</v>
      </c>
      <c r="B31" s="30" t="s">
        <v>53</v>
      </c>
      <c r="C31" s="26"/>
      <c r="D31" s="36" t="s">
        <v>123</v>
      </c>
      <c r="E31" s="21"/>
    </row>
    <row r="32" spans="1:5" ht="18" customHeight="1" x14ac:dyDescent="0.25">
      <c r="A32" s="20" t="s">
        <v>36</v>
      </c>
      <c r="B32" s="30" t="s">
        <v>54</v>
      </c>
      <c r="C32" s="26"/>
      <c r="D32" s="36" t="s">
        <v>123</v>
      </c>
      <c r="E32" s="21"/>
    </row>
    <row r="33" spans="1:5" ht="18" customHeight="1" x14ac:dyDescent="0.25">
      <c r="A33" s="20" t="s">
        <v>36</v>
      </c>
      <c r="B33" s="30" t="s">
        <v>55</v>
      </c>
      <c r="C33" s="26"/>
      <c r="D33" s="36" t="s">
        <v>123</v>
      </c>
      <c r="E33" s="21"/>
    </row>
    <row r="34" spans="1:5" ht="6" customHeight="1" x14ac:dyDescent="0.25">
      <c r="A34" s="22"/>
      <c r="B34" s="22"/>
      <c r="C34" s="22"/>
      <c r="D34" s="22"/>
      <c r="E34" s="22"/>
    </row>
    <row r="35" spans="1:5" ht="20.100000000000001" customHeight="1" x14ac:dyDescent="0.25">
      <c r="A35" s="34" t="s">
        <v>56</v>
      </c>
      <c r="B35" s="26"/>
      <c r="C35" s="26"/>
      <c r="D35" s="11" t="s">
        <v>26</v>
      </c>
      <c r="E35" s="12"/>
    </row>
    <row r="36" spans="1:5" ht="14.1" customHeight="1" x14ac:dyDescent="0.25">
      <c r="A36" s="32" t="s">
        <v>27</v>
      </c>
      <c r="B36" s="26"/>
      <c r="C36" s="26"/>
      <c r="D36" s="26"/>
      <c r="E36" s="26"/>
    </row>
    <row r="37" spans="1:5" ht="30" customHeight="1" x14ac:dyDescent="0.25">
      <c r="A37" s="13">
        <v>15</v>
      </c>
      <c r="B37" s="31" t="s">
        <v>57</v>
      </c>
      <c r="C37" s="26"/>
      <c r="D37" s="14"/>
      <c r="E37" s="14"/>
    </row>
    <row r="38" spans="1:5" ht="30" customHeight="1" x14ac:dyDescent="0.25">
      <c r="A38" s="13">
        <v>10</v>
      </c>
      <c r="B38" s="31" t="s">
        <v>58</v>
      </c>
      <c r="C38" s="26"/>
      <c r="D38" s="14"/>
      <c r="E38" s="14"/>
    </row>
    <row r="39" spans="1:5" ht="30" customHeight="1" x14ac:dyDescent="0.25">
      <c r="A39" s="13">
        <v>5</v>
      </c>
      <c r="B39" s="31" t="s">
        <v>59</v>
      </c>
      <c r="C39" s="26"/>
      <c r="D39" s="14"/>
      <c r="E39" s="14"/>
    </row>
    <row r="40" spans="1:5" ht="30" customHeight="1" x14ac:dyDescent="0.25">
      <c r="A40" s="13">
        <v>0</v>
      </c>
      <c r="B40" s="31" t="s">
        <v>60</v>
      </c>
      <c r="C40" s="26"/>
      <c r="D40" s="14"/>
      <c r="E40" s="14"/>
    </row>
    <row r="41" spans="1:5" ht="21.95" customHeight="1" x14ac:dyDescent="0.25">
      <c r="A41" s="15" t="s">
        <v>32</v>
      </c>
      <c r="B41" s="16" t="s">
        <v>33</v>
      </c>
      <c r="C41" s="17" t="s">
        <v>34</v>
      </c>
      <c r="D41" s="18">
        <v>15</v>
      </c>
      <c r="E41" s="19"/>
    </row>
    <row r="42" spans="1:5" ht="14.1" customHeight="1" x14ac:dyDescent="0.25">
      <c r="A42" s="35" t="s">
        <v>35</v>
      </c>
      <c r="B42" s="26"/>
      <c r="C42" s="26"/>
      <c r="D42" s="26"/>
      <c r="E42" s="26"/>
    </row>
    <row r="43" spans="1:5" ht="18" customHeight="1" x14ac:dyDescent="0.25">
      <c r="A43" s="20" t="s">
        <v>36</v>
      </c>
      <c r="B43" s="30" t="s">
        <v>61</v>
      </c>
      <c r="C43" s="26"/>
      <c r="D43" s="36" t="s">
        <v>123</v>
      </c>
      <c r="E43" s="21"/>
    </row>
    <row r="44" spans="1:5" ht="18" customHeight="1" x14ac:dyDescent="0.25">
      <c r="A44" s="20" t="s">
        <v>36</v>
      </c>
      <c r="B44" s="30" t="s">
        <v>62</v>
      </c>
      <c r="C44" s="26"/>
      <c r="D44" s="36" t="s">
        <v>123</v>
      </c>
      <c r="E44" s="21"/>
    </row>
    <row r="45" spans="1:5" ht="18" customHeight="1" x14ac:dyDescent="0.25">
      <c r="A45" s="20" t="s">
        <v>36</v>
      </c>
      <c r="B45" s="30" t="s">
        <v>63</v>
      </c>
      <c r="C45" s="26"/>
      <c r="D45" s="36" t="s">
        <v>123</v>
      </c>
      <c r="E45" s="21"/>
    </row>
    <row r="46" spans="1:5" ht="18" customHeight="1" x14ac:dyDescent="0.25">
      <c r="A46" s="20" t="s">
        <v>36</v>
      </c>
      <c r="B46" s="30" t="s">
        <v>64</v>
      </c>
      <c r="C46" s="26"/>
      <c r="D46" s="36" t="s">
        <v>123</v>
      </c>
      <c r="E46" s="21"/>
    </row>
    <row r="47" spans="1:5" ht="18" customHeight="1" x14ac:dyDescent="0.25">
      <c r="A47" s="20" t="s">
        <v>36</v>
      </c>
      <c r="B47" s="30" t="s">
        <v>65</v>
      </c>
      <c r="C47" s="26"/>
      <c r="D47" s="36" t="s">
        <v>123</v>
      </c>
      <c r="E47" s="21"/>
    </row>
    <row r="48" spans="1:5" ht="18" customHeight="1" x14ac:dyDescent="0.25">
      <c r="A48" s="20" t="s">
        <v>36</v>
      </c>
      <c r="B48" s="30" t="s">
        <v>66</v>
      </c>
      <c r="C48" s="26"/>
      <c r="D48" s="36" t="s">
        <v>123</v>
      </c>
      <c r="E48" s="21"/>
    </row>
    <row r="49" spans="1:5" ht="6" customHeight="1" x14ac:dyDescent="0.25">
      <c r="A49" s="22"/>
      <c r="B49" s="22"/>
      <c r="C49" s="22"/>
      <c r="D49" s="22"/>
      <c r="E49" s="22"/>
    </row>
    <row r="50" spans="1:5" ht="20.100000000000001" customHeight="1" x14ac:dyDescent="0.25">
      <c r="A50" s="34" t="s">
        <v>67</v>
      </c>
      <c r="B50" s="26"/>
      <c r="C50" s="26"/>
      <c r="D50" s="11" t="s">
        <v>44</v>
      </c>
      <c r="E50" s="12"/>
    </row>
    <row r="51" spans="1:5" ht="14.1" customHeight="1" x14ac:dyDescent="0.25">
      <c r="A51" s="32" t="s">
        <v>27</v>
      </c>
      <c r="B51" s="26"/>
      <c r="C51" s="26"/>
      <c r="D51" s="26"/>
      <c r="E51" s="26"/>
    </row>
    <row r="52" spans="1:5" ht="30" customHeight="1" x14ac:dyDescent="0.25">
      <c r="A52" s="13">
        <v>20</v>
      </c>
      <c r="B52" s="31" t="s">
        <v>68</v>
      </c>
      <c r="C52" s="26"/>
      <c r="D52" s="14"/>
      <c r="E52" s="14"/>
    </row>
    <row r="53" spans="1:5" ht="30" customHeight="1" x14ac:dyDescent="0.25">
      <c r="A53" s="13">
        <v>15</v>
      </c>
      <c r="B53" s="31" t="s">
        <v>69</v>
      </c>
      <c r="C53" s="26"/>
      <c r="D53" s="14"/>
      <c r="E53" s="14"/>
    </row>
    <row r="54" spans="1:5" ht="30" customHeight="1" x14ac:dyDescent="0.25">
      <c r="A54" s="13">
        <v>10</v>
      </c>
      <c r="B54" s="31" t="s">
        <v>70</v>
      </c>
      <c r="C54" s="26"/>
      <c r="D54" s="14"/>
      <c r="E54" s="14"/>
    </row>
    <row r="55" spans="1:5" ht="30" customHeight="1" x14ac:dyDescent="0.25">
      <c r="A55" s="13">
        <v>5</v>
      </c>
      <c r="B55" s="31" t="s">
        <v>71</v>
      </c>
      <c r="C55" s="26"/>
      <c r="D55" s="14"/>
      <c r="E55" s="14"/>
    </row>
    <row r="56" spans="1:5" ht="30" customHeight="1" x14ac:dyDescent="0.25">
      <c r="A56" s="13">
        <v>0</v>
      </c>
      <c r="B56" s="31" t="s">
        <v>72</v>
      </c>
      <c r="C56" s="26"/>
      <c r="D56" s="14"/>
      <c r="E56" s="14"/>
    </row>
    <row r="57" spans="1:5" ht="21.95" customHeight="1" x14ac:dyDescent="0.25">
      <c r="A57" s="15" t="s">
        <v>32</v>
      </c>
      <c r="B57" s="16" t="s">
        <v>33</v>
      </c>
      <c r="C57" s="17" t="s">
        <v>50</v>
      </c>
      <c r="D57" s="18">
        <v>20</v>
      </c>
      <c r="E57" s="19"/>
    </row>
    <row r="58" spans="1:5" ht="14.1" customHeight="1" x14ac:dyDescent="0.25">
      <c r="A58" s="35" t="s">
        <v>35</v>
      </c>
      <c r="B58" s="26"/>
      <c r="C58" s="26"/>
      <c r="D58" s="26"/>
      <c r="E58" s="26"/>
    </row>
    <row r="59" spans="1:5" ht="18" customHeight="1" x14ac:dyDescent="0.25">
      <c r="A59" s="20" t="s">
        <v>36</v>
      </c>
      <c r="B59" s="30" t="s">
        <v>73</v>
      </c>
      <c r="C59" s="26"/>
      <c r="D59" s="36" t="s">
        <v>123</v>
      </c>
      <c r="E59" s="21"/>
    </row>
    <row r="60" spans="1:5" ht="18" customHeight="1" x14ac:dyDescent="0.25">
      <c r="A60" s="20" t="s">
        <v>36</v>
      </c>
      <c r="B60" s="30" t="s">
        <v>74</v>
      </c>
      <c r="C60" s="26"/>
      <c r="D60" s="36" t="s">
        <v>123</v>
      </c>
      <c r="E60" s="21"/>
    </row>
    <row r="61" spans="1:5" ht="18" customHeight="1" x14ac:dyDescent="0.25">
      <c r="A61" s="20" t="s">
        <v>36</v>
      </c>
      <c r="B61" s="30" t="s">
        <v>75</v>
      </c>
      <c r="C61" s="26"/>
      <c r="D61" s="36" t="s">
        <v>123</v>
      </c>
      <c r="E61" s="21"/>
    </row>
    <row r="62" spans="1:5" ht="18" customHeight="1" x14ac:dyDescent="0.25">
      <c r="A62" s="20" t="s">
        <v>36</v>
      </c>
      <c r="B62" s="30" t="s">
        <v>76</v>
      </c>
      <c r="C62" s="26"/>
      <c r="D62" s="36" t="s">
        <v>123</v>
      </c>
      <c r="E62" s="21"/>
    </row>
    <row r="63" spans="1:5" ht="18" customHeight="1" x14ac:dyDescent="0.25">
      <c r="A63" s="20" t="s">
        <v>36</v>
      </c>
      <c r="B63" s="30" t="s">
        <v>77</v>
      </c>
      <c r="C63" s="26"/>
      <c r="D63" s="36" t="s">
        <v>123</v>
      </c>
      <c r="E63" s="21"/>
    </row>
    <row r="64" spans="1:5" ht="18" customHeight="1" x14ac:dyDescent="0.25">
      <c r="A64" s="20" t="s">
        <v>36</v>
      </c>
      <c r="B64" s="30" t="s">
        <v>78</v>
      </c>
      <c r="C64" s="26"/>
      <c r="D64" s="36" t="s">
        <v>123</v>
      </c>
      <c r="E64" s="21"/>
    </row>
    <row r="65" spans="1:5" ht="6" customHeight="1" x14ac:dyDescent="0.25">
      <c r="A65" s="22"/>
      <c r="B65" s="22"/>
      <c r="C65" s="22"/>
      <c r="D65" s="22"/>
      <c r="E65" s="22"/>
    </row>
    <row r="66" spans="1:5" ht="20.100000000000001" customHeight="1" x14ac:dyDescent="0.25">
      <c r="A66" s="34" t="s">
        <v>79</v>
      </c>
      <c r="B66" s="26"/>
      <c r="C66" s="26"/>
      <c r="D66" s="11" t="s">
        <v>80</v>
      </c>
      <c r="E66" s="12"/>
    </row>
    <row r="67" spans="1:5" ht="14.1" customHeight="1" x14ac:dyDescent="0.25">
      <c r="A67" s="32" t="s">
        <v>27</v>
      </c>
      <c r="B67" s="26"/>
      <c r="C67" s="26"/>
      <c r="D67" s="26"/>
      <c r="E67" s="26"/>
    </row>
    <row r="68" spans="1:5" ht="30" customHeight="1" x14ac:dyDescent="0.25">
      <c r="A68" s="13">
        <v>10</v>
      </c>
      <c r="B68" s="31" t="s">
        <v>81</v>
      </c>
      <c r="C68" s="26"/>
      <c r="D68" s="14"/>
      <c r="E68" s="14"/>
    </row>
    <row r="69" spans="1:5" ht="30" customHeight="1" x14ac:dyDescent="0.25">
      <c r="A69" s="13">
        <v>6</v>
      </c>
      <c r="B69" s="31" t="s">
        <v>82</v>
      </c>
      <c r="C69" s="26"/>
      <c r="D69" s="14"/>
      <c r="E69" s="14"/>
    </row>
    <row r="70" spans="1:5" ht="30" customHeight="1" x14ac:dyDescent="0.25">
      <c r="A70" s="13">
        <v>3</v>
      </c>
      <c r="B70" s="31" t="s">
        <v>83</v>
      </c>
      <c r="C70" s="26"/>
      <c r="D70" s="14"/>
      <c r="E70" s="14"/>
    </row>
    <row r="71" spans="1:5" ht="30" customHeight="1" x14ac:dyDescent="0.25">
      <c r="A71" s="13">
        <v>0</v>
      </c>
      <c r="B71" s="31" t="s">
        <v>84</v>
      </c>
      <c r="C71" s="26"/>
      <c r="D71" s="14"/>
      <c r="E71" s="14"/>
    </row>
    <row r="72" spans="1:5" ht="21.95" customHeight="1" x14ac:dyDescent="0.25">
      <c r="A72" s="15" t="s">
        <v>32</v>
      </c>
      <c r="B72" s="16" t="s">
        <v>33</v>
      </c>
      <c r="C72" s="17" t="s">
        <v>85</v>
      </c>
      <c r="D72" s="18">
        <v>10</v>
      </c>
      <c r="E72" s="19"/>
    </row>
    <row r="73" spans="1:5" ht="14.1" customHeight="1" x14ac:dyDescent="0.25">
      <c r="A73" s="35" t="s">
        <v>35</v>
      </c>
      <c r="B73" s="26"/>
      <c r="C73" s="26"/>
      <c r="D73" s="26"/>
      <c r="E73" s="26"/>
    </row>
    <row r="74" spans="1:5" ht="18" customHeight="1" x14ac:dyDescent="0.25">
      <c r="A74" s="20" t="s">
        <v>36</v>
      </c>
      <c r="B74" s="30" t="s">
        <v>86</v>
      </c>
      <c r="C74" s="26"/>
      <c r="D74" s="36" t="s">
        <v>123</v>
      </c>
      <c r="E74" s="21"/>
    </row>
    <row r="75" spans="1:5" ht="18" customHeight="1" x14ac:dyDescent="0.25">
      <c r="A75" s="20" t="s">
        <v>36</v>
      </c>
      <c r="B75" s="30" t="s">
        <v>87</v>
      </c>
      <c r="C75" s="26"/>
      <c r="D75" s="36" t="s">
        <v>123</v>
      </c>
      <c r="E75" s="21"/>
    </row>
    <row r="76" spans="1:5" ht="18" customHeight="1" x14ac:dyDescent="0.25">
      <c r="A76" s="20" t="s">
        <v>36</v>
      </c>
      <c r="B76" s="30" t="s">
        <v>88</v>
      </c>
      <c r="C76" s="26"/>
      <c r="D76" s="36" t="s">
        <v>123</v>
      </c>
      <c r="E76" s="21"/>
    </row>
    <row r="77" spans="1:5" ht="18" customHeight="1" x14ac:dyDescent="0.25">
      <c r="A77" s="20" t="s">
        <v>36</v>
      </c>
      <c r="B77" s="30" t="s">
        <v>89</v>
      </c>
      <c r="C77" s="26"/>
      <c r="D77" s="36" t="s">
        <v>123</v>
      </c>
      <c r="E77" s="21"/>
    </row>
    <row r="78" spans="1:5" ht="6" customHeight="1" x14ac:dyDescent="0.25">
      <c r="A78" s="22"/>
      <c r="B78" s="22"/>
      <c r="C78" s="22"/>
      <c r="D78" s="22"/>
      <c r="E78" s="22"/>
    </row>
    <row r="79" spans="1:5" ht="20.100000000000001" customHeight="1" x14ac:dyDescent="0.25">
      <c r="A79" s="34" t="s">
        <v>90</v>
      </c>
      <c r="B79" s="26"/>
      <c r="C79" s="26"/>
      <c r="D79" s="11" t="s">
        <v>80</v>
      </c>
      <c r="E79" s="12"/>
    </row>
    <row r="80" spans="1:5" ht="14.1" customHeight="1" x14ac:dyDescent="0.25">
      <c r="A80" s="32" t="s">
        <v>27</v>
      </c>
      <c r="B80" s="26"/>
      <c r="C80" s="26"/>
      <c r="D80" s="26"/>
      <c r="E80" s="26"/>
    </row>
    <row r="81" spans="1:5" ht="30" customHeight="1" x14ac:dyDescent="0.25">
      <c r="A81" s="13">
        <v>10</v>
      </c>
      <c r="B81" s="31" t="s">
        <v>91</v>
      </c>
      <c r="C81" s="26"/>
      <c r="D81" s="14"/>
      <c r="E81" s="14"/>
    </row>
    <row r="82" spans="1:5" ht="30" customHeight="1" x14ac:dyDescent="0.25">
      <c r="A82" s="13">
        <v>7</v>
      </c>
      <c r="B82" s="31" t="s">
        <v>92</v>
      </c>
      <c r="C82" s="26"/>
      <c r="D82" s="14"/>
      <c r="E82" s="14"/>
    </row>
    <row r="83" spans="1:5" ht="30" customHeight="1" x14ac:dyDescent="0.25">
      <c r="A83" s="13">
        <v>4</v>
      </c>
      <c r="B83" s="31" t="s">
        <v>93</v>
      </c>
      <c r="C83" s="26"/>
      <c r="D83" s="14"/>
      <c r="E83" s="14"/>
    </row>
    <row r="84" spans="1:5" ht="30" customHeight="1" x14ac:dyDescent="0.25">
      <c r="A84" s="13">
        <v>0</v>
      </c>
      <c r="B84" s="31" t="s">
        <v>94</v>
      </c>
      <c r="C84" s="26"/>
      <c r="D84" s="14"/>
      <c r="E84" s="14"/>
    </row>
    <row r="85" spans="1:5" ht="21.95" customHeight="1" x14ac:dyDescent="0.25">
      <c r="A85" s="15" t="s">
        <v>32</v>
      </c>
      <c r="B85" s="16" t="s">
        <v>33</v>
      </c>
      <c r="C85" s="17" t="s">
        <v>85</v>
      </c>
      <c r="D85" s="18">
        <v>10</v>
      </c>
      <c r="E85" s="19"/>
    </row>
    <row r="86" spans="1:5" ht="14.1" customHeight="1" x14ac:dyDescent="0.25">
      <c r="A86" s="35" t="s">
        <v>35</v>
      </c>
      <c r="B86" s="26"/>
      <c r="C86" s="26"/>
      <c r="D86" s="26"/>
      <c r="E86" s="26"/>
    </row>
    <row r="87" spans="1:5" ht="18" customHeight="1" x14ac:dyDescent="0.25">
      <c r="A87" s="20" t="s">
        <v>36</v>
      </c>
      <c r="B87" s="30" t="s">
        <v>95</v>
      </c>
      <c r="C87" s="26"/>
      <c r="D87" s="36" t="s">
        <v>123</v>
      </c>
      <c r="E87" s="21"/>
    </row>
    <row r="88" spans="1:5" ht="18" customHeight="1" x14ac:dyDescent="0.25">
      <c r="A88" s="20" t="s">
        <v>36</v>
      </c>
      <c r="B88" s="30" t="s">
        <v>96</v>
      </c>
      <c r="C88" s="26"/>
      <c r="D88" s="36" t="s">
        <v>123</v>
      </c>
      <c r="E88" s="21"/>
    </row>
    <row r="89" spans="1:5" ht="18" customHeight="1" x14ac:dyDescent="0.25">
      <c r="A89" s="20" t="s">
        <v>36</v>
      </c>
      <c r="B89" s="30" t="s">
        <v>97</v>
      </c>
      <c r="C89" s="26"/>
      <c r="D89" s="36" t="s">
        <v>123</v>
      </c>
      <c r="E89" s="21"/>
    </row>
    <row r="90" spans="1:5" ht="18" customHeight="1" x14ac:dyDescent="0.25">
      <c r="A90" s="20" t="s">
        <v>36</v>
      </c>
      <c r="B90" s="30" t="s">
        <v>98</v>
      </c>
      <c r="C90" s="26"/>
      <c r="D90" s="36" t="s">
        <v>123</v>
      </c>
      <c r="E90" s="21"/>
    </row>
    <row r="91" spans="1:5" ht="18" customHeight="1" x14ac:dyDescent="0.25">
      <c r="A91" s="20" t="s">
        <v>36</v>
      </c>
      <c r="B91" s="30" t="s">
        <v>99</v>
      </c>
      <c r="C91" s="26"/>
      <c r="D91" s="36" t="s">
        <v>123</v>
      </c>
      <c r="E91" s="21"/>
    </row>
    <row r="92" spans="1:5" ht="18" customHeight="1" x14ac:dyDescent="0.25">
      <c r="A92" s="20" t="s">
        <v>36</v>
      </c>
      <c r="B92" s="30" t="s">
        <v>100</v>
      </c>
      <c r="C92" s="26"/>
      <c r="D92" s="36" t="s">
        <v>123</v>
      </c>
      <c r="E92" s="21"/>
    </row>
    <row r="93" spans="1:5" ht="6" customHeight="1" x14ac:dyDescent="0.25">
      <c r="A93" s="22"/>
      <c r="B93" s="22"/>
      <c r="C93" s="22"/>
      <c r="D93" s="22"/>
      <c r="E93" s="22"/>
    </row>
    <row r="94" spans="1:5" ht="20.100000000000001" customHeight="1" x14ac:dyDescent="0.25">
      <c r="A94" s="34" t="s">
        <v>101</v>
      </c>
      <c r="B94" s="26"/>
      <c r="C94" s="26"/>
      <c r="D94" s="11" t="s">
        <v>102</v>
      </c>
      <c r="E94" s="12"/>
    </row>
    <row r="95" spans="1:5" ht="14.1" customHeight="1" x14ac:dyDescent="0.25">
      <c r="A95" s="32" t="s">
        <v>27</v>
      </c>
      <c r="B95" s="26"/>
      <c r="C95" s="26"/>
      <c r="D95" s="26"/>
      <c r="E95" s="26"/>
    </row>
    <row r="96" spans="1:5" ht="30" customHeight="1" x14ac:dyDescent="0.25">
      <c r="A96" s="13">
        <v>5</v>
      </c>
      <c r="B96" s="31" t="s">
        <v>103</v>
      </c>
      <c r="C96" s="26"/>
      <c r="D96" s="14"/>
      <c r="E96" s="14"/>
    </row>
    <row r="97" spans="1:5" ht="30" customHeight="1" x14ac:dyDescent="0.25">
      <c r="A97" s="13">
        <v>3</v>
      </c>
      <c r="B97" s="31" t="s">
        <v>104</v>
      </c>
      <c r="C97" s="26"/>
      <c r="D97" s="14"/>
      <c r="E97" s="14"/>
    </row>
    <row r="98" spans="1:5" ht="30" customHeight="1" x14ac:dyDescent="0.25">
      <c r="A98" s="13">
        <v>1</v>
      </c>
      <c r="B98" s="31" t="s">
        <v>105</v>
      </c>
      <c r="C98" s="26"/>
      <c r="D98" s="14"/>
      <c r="E98" s="14"/>
    </row>
    <row r="99" spans="1:5" ht="30" customHeight="1" x14ac:dyDescent="0.25">
      <c r="A99" s="13">
        <v>0</v>
      </c>
      <c r="B99" s="31" t="s">
        <v>106</v>
      </c>
      <c r="C99" s="26"/>
      <c r="D99" s="14"/>
      <c r="E99" s="14"/>
    </row>
    <row r="100" spans="1:5" ht="21.95" customHeight="1" x14ac:dyDescent="0.25">
      <c r="A100" s="15" t="s">
        <v>32</v>
      </c>
      <c r="B100" s="16" t="s">
        <v>33</v>
      </c>
      <c r="C100" s="17" t="s">
        <v>107</v>
      </c>
      <c r="D100" s="18">
        <v>5</v>
      </c>
      <c r="E100" s="19"/>
    </row>
    <row r="101" spans="1:5" ht="14.1" customHeight="1" x14ac:dyDescent="0.25">
      <c r="A101" s="35" t="s">
        <v>35</v>
      </c>
      <c r="B101" s="26"/>
      <c r="C101" s="26"/>
      <c r="D101" s="26"/>
      <c r="E101" s="26"/>
    </row>
    <row r="102" spans="1:5" ht="18" customHeight="1" x14ac:dyDescent="0.25">
      <c r="A102" s="20" t="s">
        <v>36</v>
      </c>
      <c r="B102" s="30" t="s">
        <v>108</v>
      </c>
      <c r="C102" s="26"/>
      <c r="D102" s="21"/>
      <c r="E102" s="21"/>
    </row>
    <row r="103" spans="1:5" ht="18" customHeight="1" x14ac:dyDescent="0.25">
      <c r="A103" s="20" t="s">
        <v>36</v>
      </c>
      <c r="B103" s="30" t="s">
        <v>109</v>
      </c>
      <c r="C103" s="26"/>
      <c r="D103" s="21"/>
      <c r="E103" s="21"/>
    </row>
    <row r="104" spans="1:5" ht="18" customHeight="1" x14ac:dyDescent="0.25">
      <c r="A104" s="20" t="s">
        <v>36</v>
      </c>
      <c r="B104" s="30" t="s">
        <v>110</v>
      </c>
      <c r="C104" s="26"/>
      <c r="D104" s="21"/>
      <c r="E104" s="21"/>
    </row>
    <row r="105" spans="1:5" ht="18" customHeight="1" x14ac:dyDescent="0.25">
      <c r="A105" s="20" t="s">
        <v>36</v>
      </c>
      <c r="B105" s="30" t="s">
        <v>111</v>
      </c>
      <c r="C105" s="26"/>
      <c r="D105" s="21"/>
      <c r="E105" s="21"/>
    </row>
    <row r="106" spans="1:5" ht="18" customHeight="1" x14ac:dyDescent="0.25">
      <c r="A106" s="20" t="s">
        <v>36</v>
      </c>
      <c r="B106" s="30" t="s">
        <v>112</v>
      </c>
      <c r="C106" s="26"/>
      <c r="D106" s="21"/>
      <c r="E106" s="21"/>
    </row>
    <row r="107" spans="1:5" ht="6" customHeight="1" x14ac:dyDescent="0.25">
      <c r="A107" s="22"/>
      <c r="B107" s="22"/>
      <c r="C107" s="22"/>
      <c r="D107" s="22"/>
      <c r="E107" s="22"/>
    </row>
    <row r="108" spans="1:5" ht="20.100000000000001" customHeight="1" x14ac:dyDescent="0.25">
      <c r="A108" s="34" t="s">
        <v>113</v>
      </c>
      <c r="B108" s="26"/>
      <c r="C108" s="26"/>
      <c r="D108" s="11" t="s">
        <v>102</v>
      </c>
      <c r="E108" s="12"/>
    </row>
    <row r="109" spans="1:5" ht="14.1" customHeight="1" x14ac:dyDescent="0.25">
      <c r="A109" s="32" t="s">
        <v>27</v>
      </c>
      <c r="B109" s="26"/>
      <c r="C109" s="26"/>
      <c r="D109" s="26"/>
      <c r="E109" s="26"/>
    </row>
    <row r="110" spans="1:5" ht="30" customHeight="1" x14ac:dyDescent="0.25">
      <c r="A110" s="13">
        <v>5</v>
      </c>
      <c r="B110" s="31" t="s">
        <v>114</v>
      </c>
      <c r="C110" s="26"/>
      <c r="D110" s="14"/>
      <c r="E110" s="14"/>
    </row>
    <row r="111" spans="1:5" ht="30" customHeight="1" x14ac:dyDescent="0.25">
      <c r="A111" s="13">
        <v>3</v>
      </c>
      <c r="B111" s="31" t="s">
        <v>115</v>
      </c>
      <c r="C111" s="26"/>
      <c r="D111" s="14"/>
      <c r="E111" s="14"/>
    </row>
    <row r="112" spans="1:5" ht="30" customHeight="1" x14ac:dyDescent="0.25">
      <c r="A112" s="13">
        <v>0</v>
      </c>
      <c r="B112" s="31" t="s">
        <v>116</v>
      </c>
      <c r="C112" s="26"/>
      <c r="D112" s="14"/>
      <c r="E112" s="14"/>
    </row>
    <row r="113" spans="1:5" ht="21.95" customHeight="1" x14ac:dyDescent="0.25">
      <c r="A113" s="15" t="s">
        <v>32</v>
      </c>
      <c r="B113" s="16" t="s">
        <v>33</v>
      </c>
      <c r="C113" s="17" t="s">
        <v>107</v>
      </c>
      <c r="D113" s="18">
        <v>5</v>
      </c>
      <c r="E113" s="19"/>
    </row>
    <row r="114" spans="1:5" ht="14.1" customHeight="1" x14ac:dyDescent="0.25">
      <c r="A114" s="35" t="s">
        <v>35</v>
      </c>
      <c r="B114" s="26"/>
      <c r="C114" s="26"/>
      <c r="D114" s="26"/>
      <c r="E114" s="26"/>
    </row>
    <row r="115" spans="1:5" ht="18" customHeight="1" x14ac:dyDescent="0.25">
      <c r="A115" s="20" t="s">
        <v>36</v>
      </c>
      <c r="B115" s="30" t="s">
        <v>117</v>
      </c>
      <c r="C115" s="26"/>
      <c r="D115" s="21"/>
      <c r="E115" s="21"/>
    </row>
    <row r="116" spans="1:5" ht="18" customHeight="1" x14ac:dyDescent="0.25">
      <c r="A116" s="20" t="s">
        <v>36</v>
      </c>
      <c r="B116" s="30" t="s">
        <v>118</v>
      </c>
      <c r="C116" s="26"/>
      <c r="D116" s="21"/>
      <c r="E116" s="21"/>
    </row>
    <row r="117" spans="1:5" ht="18" customHeight="1" x14ac:dyDescent="0.25">
      <c r="A117" s="20" t="s">
        <v>36</v>
      </c>
      <c r="B117" s="30" t="s">
        <v>119</v>
      </c>
      <c r="C117" s="26"/>
      <c r="D117" s="21"/>
      <c r="E117" s="21"/>
    </row>
    <row r="118" spans="1:5" ht="6" customHeight="1" x14ac:dyDescent="0.25">
      <c r="A118" s="22"/>
      <c r="B118" s="22"/>
      <c r="C118" s="22"/>
      <c r="D118" s="22"/>
      <c r="E118" s="22"/>
    </row>
    <row r="119" spans="1:5" ht="27.95" customHeight="1" x14ac:dyDescent="0.25">
      <c r="A119" s="33" t="s">
        <v>15</v>
      </c>
      <c r="B119" s="26"/>
      <c r="C119" s="26"/>
      <c r="D119" s="23">
        <f>IFERROR(SUM(D11,D27,D41,D57,D72,D85,D100,D113),"")</f>
        <v>90</v>
      </c>
      <c r="E119" s="24" t="s">
        <v>120</v>
      </c>
    </row>
  </sheetData>
  <mergeCells count="101">
    <mergeCell ref="A114:E114"/>
    <mergeCell ref="B47:C47"/>
    <mergeCell ref="B62:C62"/>
    <mergeCell ref="B59:C59"/>
    <mergeCell ref="B46:C46"/>
    <mergeCell ref="A51:E51"/>
    <mergeCell ref="B39:C39"/>
    <mergeCell ref="B70:C70"/>
    <mergeCell ref="B48:C48"/>
    <mergeCell ref="B111:C111"/>
    <mergeCell ref="B87:C87"/>
    <mergeCell ref="A101:E101"/>
    <mergeCell ref="B74:C74"/>
    <mergeCell ref="A109:E109"/>
    <mergeCell ref="B68:C68"/>
    <mergeCell ref="A94:C94"/>
    <mergeCell ref="B110:C110"/>
    <mergeCell ref="A2:E2"/>
    <mergeCell ref="A86:E86"/>
    <mergeCell ref="A42:E42"/>
    <mergeCell ref="B99:C99"/>
    <mergeCell ref="B9:C9"/>
    <mergeCell ref="B83:C83"/>
    <mergeCell ref="B92:C92"/>
    <mergeCell ref="B30:C30"/>
    <mergeCell ref="A79:C79"/>
    <mergeCell ref="A28:E28"/>
    <mergeCell ref="B76:C76"/>
    <mergeCell ref="B45:C45"/>
    <mergeCell ref="B75:C75"/>
    <mergeCell ref="B23:C23"/>
    <mergeCell ref="A35:C35"/>
    <mergeCell ref="B8:C8"/>
    <mergeCell ref="B10:C10"/>
    <mergeCell ref="B54:C54"/>
    <mergeCell ref="A108:C108"/>
    <mergeCell ref="B7:C7"/>
    <mergeCell ref="A73:E73"/>
    <mergeCell ref="B81:C81"/>
    <mergeCell ref="A50:C50"/>
    <mergeCell ref="B56:C56"/>
    <mergeCell ref="B71:C71"/>
    <mergeCell ref="B96:C96"/>
    <mergeCell ref="B105:C105"/>
    <mergeCell ref="B43:C43"/>
    <mergeCell ref="B52:C52"/>
    <mergeCell ref="B98:C98"/>
    <mergeCell ref="B60:C60"/>
    <mergeCell ref="B17:C17"/>
    <mergeCell ref="B88:C88"/>
    <mergeCell ref="A20:C20"/>
    <mergeCell ref="B82:C82"/>
    <mergeCell ref="B44:C44"/>
    <mergeCell ref="A119:C119"/>
    <mergeCell ref="B32:C32"/>
    <mergeCell ref="B63:C63"/>
    <mergeCell ref="B26:C26"/>
    <mergeCell ref="B106:C106"/>
    <mergeCell ref="B16:C16"/>
    <mergeCell ref="A66:C66"/>
    <mergeCell ref="B25:C25"/>
    <mergeCell ref="B90:C90"/>
    <mergeCell ref="A36:E36"/>
    <mergeCell ref="B18:C18"/>
    <mergeCell ref="B117:C117"/>
    <mergeCell ref="A80:E80"/>
    <mergeCell ref="B53:C53"/>
    <mergeCell ref="B116:C116"/>
    <mergeCell ref="B29:C29"/>
    <mergeCell ref="A95:E95"/>
    <mergeCell ref="B103:C103"/>
    <mergeCell ref="B37:C37"/>
    <mergeCell ref="B84:C84"/>
    <mergeCell ref="B89:C89"/>
    <mergeCell ref="A58:E58"/>
    <mergeCell ref="A67:E67"/>
    <mergeCell ref="B97:C97"/>
    <mergeCell ref="B91:C91"/>
    <mergeCell ref="B22:C22"/>
    <mergeCell ref="A1:E1"/>
    <mergeCell ref="B115:C115"/>
    <mergeCell ref="B31:C31"/>
    <mergeCell ref="B102:C102"/>
    <mergeCell ref="B77:C77"/>
    <mergeCell ref="B61:C61"/>
    <mergeCell ref="B14:C14"/>
    <mergeCell ref="B13:C13"/>
    <mergeCell ref="A21:E21"/>
    <mergeCell ref="B69:C69"/>
    <mergeCell ref="B38:C38"/>
    <mergeCell ref="B112:C112"/>
    <mergeCell ref="B40:C40"/>
    <mergeCell ref="B55:C55"/>
    <mergeCell ref="B24:C24"/>
    <mergeCell ref="B64:C64"/>
    <mergeCell ref="B33:C33"/>
    <mergeCell ref="B104:C104"/>
    <mergeCell ref="A6:E6"/>
    <mergeCell ref="A5:C5"/>
    <mergeCell ref="A12:E12"/>
    <mergeCell ref="B15:C15"/>
  </mergeCells>
  <dataValidations count="6">
    <dataValidation type="list" allowBlank="1" errorTitle="Valor inválido" error="Use os valores da rubrica: [15, 10, 5, 0]" sqref="D11 D41" xr:uid="{00000000-0002-0000-0300-000000000000}">
      <formula1>"15,10,5,0"</formula1>
    </dataValidation>
    <dataValidation type="list" allowBlank="1" errorTitle="Valor inválido" error="Use os valores da rubrica: [20, 15, 10, 5, 0]" sqref="D27 D57" xr:uid="{00000000-0002-0000-0300-000001000000}">
      <formula1>"20,15,10,5,0"</formula1>
    </dataValidation>
    <dataValidation type="list" allowBlank="1" errorTitle="Valor inválido" error="Use os valores da rubrica: [10, 6, 3, 0]" sqref="D72" xr:uid="{00000000-0002-0000-0300-000004000000}">
      <formula1>"10,6,3,0"</formula1>
    </dataValidation>
    <dataValidation type="list" allowBlank="1" errorTitle="Valor inválido" error="Use os valores da rubrica: [10, 7, 4, 0]" sqref="D85" xr:uid="{00000000-0002-0000-0300-000005000000}">
      <formula1>"10,7,4,0"</formula1>
    </dataValidation>
    <dataValidation type="list" allowBlank="1" errorTitle="Valor inválido" error="Use os valores da rubrica: [5, 3, 1, 0]" sqref="D100" xr:uid="{00000000-0002-0000-0300-000006000000}">
      <formula1>"5,3,1,0"</formula1>
    </dataValidation>
    <dataValidation type="list" allowBlank="1" errorTitle="Valor inválido" error="Use os valores da rubrica: [5, 3, 0]" sqref="D113" xr:uid="{00000000-0002-0000-0300-000007000000}">
      <formula1>"5,3,0"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claude_code</vt:lpstr>
      <vt:lpstr>opencode</vt:lpstr>
      <vt:lpstr>codex_cli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Vinicius</cp:lastModifiedBy>
  <dcterms:created xsi:type="dcterms:W3CDTF">2026-10-18T17:56:53Z</dcterms:created>
  <dcterms:modified xsi:type="dcterms:W3CDTF">2026-10-18T19:28:40Z</dcterms:modified>
</cp:coreProperties>
</file>